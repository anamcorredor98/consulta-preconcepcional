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oleObject" PartName="/xl/embeddings/oleObject1.bin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1" sheetId="1" r:id="rId5"/>
    <sheet state="visible" name="Consolidado" sheetId="2" r:id="rId6"/>
  </sheets>
  <definedNames/>
  <calcPr/>
  <extLst>
    <ext uri="GoogleSheetsCustomDataVersion2">
      <go:sheetsCustomData xmlns:go="http://customooxmlschemas.google.com/" r:id="rId7" roundtripDataChecksum="iApx4j/Z50CFmtt0pzgjX0zq8AhQYBy46oqAM7pD7OA="/>
    </ext>
  </extLst>
</workbook>
</file>

<file path=xl/sharedStrings.xml><?xml version="1.0" encoding="utf-8"?>
<sst xmlns="http://schemas.openxmlformats.org/spreadsheetml/2006/main" count="186" uniqueCount="115">
  <si>
    <r>
      <rPr>
        <rFont val="Arial"/>
        <color theme="1"/>
        <sz val="9.0"/>
      </rPr>
      <t xml:space="preserve">DIRECCIÓN DE PROVISIÓN DE SERVICIOS DE SALUD
SISTEMA INTEGRADO DE GESTIÓN
 CONTROL DOCUMENTAL
</t>
    </r>
    <r>
      <rPr>
        <rFont val="Arial"/>
        <color theme="1"/>
        <sz val="9.0"/>
      </rPr>
      <t>INSTRUMENTO DE ADHERENCIA A LOS LINEAMIENTOS PARA LA ATENCIÓN PARA EL CUIDADO PRENATAL POR MEDICINA Y ENFERMERÍA</t>
    </r>
    <r>
      <rPr>
        <rFont val="Arial"/>
        <color theme="1"/>
        <sz val="9.0"/>
      </rPr>
      <t xml:space="preserve">
CONTROL DOCUMENTAL  
Código: SDS-PSS- FT-009 </t>
    </r>
    <r>
      <rPr>
        <rFont val="Arial"/>
        <color theme="1"/>
        <sz val="9.0"/>
      </rPr>
      <t>V.4</t>
    </r>
  </si>
  <si>
    <t xml:space="preserve">Elaborado por: Andrea Villamizar, Diego Becerra, Alvinzy Velásquez, Nydia Suárez, Marlene Soto, Dayan Mateus,  Claudia Sarmiento
Revisado por: Beatriz Helena Guerrero Africani, Diana Milena Mendivelso Diaz y Tamara Vanin 
Aprobado por: Martha Yolanda Ruíz Valdés
</t>
  </si>
  <si>
    <t>IPS</t>
  </si>
  <si>
    <t>PERIODO EVALUADO:</t>
  </si>
  <si>
    <t>FECHA:</t>
  </si>
  <si>
    <t># HIS. CLÍNICA:</t>
  </si>
  <si>
    <t>ÍTEMS A EVALUAR</t>
  </si>
  <si>
    <t>EVALUAR</t>
  </si>
  <si>
    <t>PUNTAJE PONDERADO</t>
  </si>
  <si>
    <t>CLASIFICACIÓN</t>
  </si>
  <si>
    <t>PUNTAJE TOTAL</t>
  </si>
  <si>
    <t>% DE CUMPLIMIENTO 
SEMAFORIZADO</t>
  </si>
  <si>
    <t>1. SE DILIGENCIA EN LA HISTORIA CLÍNICA IDENTIFICACIÓN</t>
  </si>
  <si>
    <t>Se registra nombre completo de la persona atendida</t>
  </si>
  <si>
    <t>CUMPLE</t>
  </si>
  <si>
    <t>Se registra Edad</t>
  </si>
  <si>
    <t>NO CUMPLE</t>
  </si>
  <si>
    <t>Se registra dirección y teléfono</t>
  </si>
  <si>
    <t>N/A</t>
  </si>
  <si>
    <t>Se registra ocupación</t>
  </si>
  <si>
    <t>Se registra Escolaridad</t>
  </si>
  <si>
    <t>Se registra acompañante</t>
  </si>
  <si>
    <t>Identifica y registra variables de enfoque diferencial</t>
  </si>
  <si>
    <t xml:space="preserve">SUB TOTAL HC IDENTIFICACIÓN </t>
  </si>
  <si>
    <r>
      <rPr>
        <rFont val="Calibri"/>
        <b/>
        <color rgb="FF000000"/>
        <sz val="11.0"/>
      </rPr>
      <t xml:space="preserve">2. </t>
    </r>
    <r>
      <rPr>
        <rFont val="Calibri"/>
        <b/>
        <color rgb="FF000000"/>
        <sz val="11.0"/>
      </rPr>
      <t>SE DILIGENCIAN ANTECEDENTES RELEVANTES PARA EL CUIDADO PRENATAL</t>
    </r>
    <r>
      <rPr>
        <rFont val="Calibri"/>
        <b/>
        <color rgb="FF000000"/>
        <sz val="11.0"/>
      </rPr>
      <t xml:space="preserve"> EN LA HISTORIA CLÍNICA </t>
    </r>
  </si>
  <si>
    <t>Personales</t>
  </si>
  <si>
    <t>Familiares</t>
  </si>
  <si>
    <t>Ginecológicos</t>
  </si>
  <si>
    <t>SUB TOTAL HC ANTECEDENTES GENERALES</t>
  </si>
  <si>
    <t>3. SE DILIGENCIA EN LA HISTORIA CLÍNICA ANTECEDENTES OBSTÉTRICOS</t>
  </si>
  <si>
    <t>Registra si la fecha de última menstruación es confiable y se la emplea para estimar edad gestacional y fecha probable de parto</t>
  </si>
  <si>
    <t>Infecciones de transmisión sexual previa</t>
  </si>
  <si>
    <t xml:space="preserve">Formula obstétrica detallada </t>
  </si>
  <si>
    <t>Historia de descenlace obstétrico</t>
  </si>
  <si>
    <t>Identifica si hubo falla de anticoncepción previa</t>
  </si>
  <si>
    <t>Tamización cáncer de cuello uterino</t>
  </si>
  <si>
    <t>SUB TOTAL HC ANTECEDENTES OBSTÉTRICOS</t>
  </si>
  <si>
    <t>4. SE DILIGENCIA EN LA HISTORIA CLÍNICA REVISIÓN POR SISTEMAS</t>
  </si>
  <si>
    <t>Sangrado</t>
  </si>
  <si>
    <t>Características anormales de flujo vaginal</t>
  </si>
  <si>
    <t>Síntomas urinarios</t>
  </si>
  <si>
    <t>Movimientos fetales (*)</t>
  </si>
  <si>
    <t>Síntomas premonitorios de preeclampsia (*)</t>
  </si>
  <si>
    <t>Cardiopulmonar</t>
  </si>
  <si>
    <t>Coagulopatías (**)</t>
  </si>
  <si>
    <t>SUB TOTAL HC REVISIÓN POR SISTEMAS</t>
  </si>
  <si>
    <t>5. SE HACE EXAMEN FÍSICO</t>
  </si>
  <si>
    <t>Estado General</t>
  </si>
  <si>
    <t>Signos vitales</t>
  </si>
  <si>
    <t>Peso</t>
  </si>
  <si>
    <t>Talla (***)</t>
  </si>
  <si>
    <t>Cabeza y cuello</t>
  </si>
  <si>
    <t>Abdomen</t>
  </si>
  <si>
    <t xml:space="preserve">Genitourinario </t>
  </si>
  <si>
    <t>Neurológico</t>
  </si>
  <si>
    <t>Fetocardia (****)</t>
  </si>
  <si>
    <t>Altura uterina (****)</t>
  </si>
  <si>
    <t>Extremidades</t>
  </si>
  <si>
    <t>SUB TOTAL  EXAMEN FÍSICO</t>
  </si>
  <si>
    <t>6. CURVA DE PESO Y ALTURA UTERINA</t>
  </si>
  <si>
    <t>Curva peso</t>
  </si>
  <si>
    <t>Curva altura uterina</t>
  </si>
  <si>
    <t>SUB TOTAL CURVA DE PESO Y ALTURA UTERINA</t>
  </si>
  <si>
    <t xml:space="preserve">7. SE CLASIFICA RIESGO </t>
  </si>
  <si>
    <t>Psicosocial</t>
  </si>
  <si>
    <t>Biológico-obstétrico</t>
  </si>
  <si>
    <t>Clasificación de riesgo tromboembólico</t>
  </si>
  <si>
    <t xml:space="preserve">Indaga sobre exposición a violencia </t>
  </si>
  <si>
    <t>Identifica riesgo de depresión posparto (semana 28)</t>
  </si>
  <si>
    <t xml:space="preserve">SUB TOTAL CLASIFICA RIESGO </t>
  </si>
  <si>
    <t>8. ANÁLISIS, DIAGNÓSTICO Y PLAN DE MANEJO</t>
  </si>
  <si>
    <t>Análisis</t>
  </si>
  <si>
    <t>Diagnóstico</t>
  </si>
  <si>
    <t>Plan de cuidado</t>
  </si>
  <si>
    <t>SUB TOTAL ANÁLISIS, DIAGNÓSTICO Y PLAN DE MANEJO</t>
  </si>
  <si>
    <t>9. SE BRINDA INFORMACIÓN</t>
  </si>
  <si>
    <t>Asesoría formal anticoncepción</t>
  </si>
  <si>
    <t>Información en Sentencia C 355 de 2006 (Interrupción Voluntaria del Embarazo)</t>
  </si>
  <si>
    <t>Lactancia materna</t>
  </si>
  <si>
    <t>Vacunación</t>
  </si>
  <si>
    <t>Signos de alarma</t>
  </si>
  <si>
    <t>SUB TOTAL BRINDA INFORMACIÓN</t>
  </si>
  <si>
    <t>10. SE REVISAN LABORATORIOS</t>
  </si>
  <si>
    <t>Cuadro hemático</t>
  </si>
  <si>
    <t>Urocultivo</t>
  </si>
  <si>
    <t>Hemoclasificación</t>
  </si>
  <si>
    <t>Prueba rápida de VIH</t>
  </si>
  <si>
    <t>Prueba treponémica rápida</t>
  </si>
  <si>
    <t>Antígeno de superficie Hepatitis B</t>
  </si>
  <si>
    <t xml:space="preserve">Prueba serológica para toxoplasma IgG e IgM </t>
  </si>
  <si>
    <t>Ecografía obstétrica</t>
  </si>
  <si>
    <t>Glicemia</t>
  </si>
  <si>
    <t>Prueba de tolerancia oral a la glucosa 75 gr ( sem 24-28)</t>
  </si>
  <si>
    <t>Tamizaje para Chagas si gestante con factores de riesgo</t>
  </si>
  <si>
    <t>Cultivo vaginorectal de estreptococo B (semana 35-37)</t>
  </si>
  <si>
    <t>Gota gruesa si gestante con factores de riesgo</t>
  </si>
  <si>
    <t>SUB TOTAL LABORATORIOS</t>
  </si>
  <si>
    <t>11. SE REALIZAN VALORACIONES ADICIONALES</t>
  </si>
  <si>
    <t>Odontología</t>
  </si>
  <si>
    <t>Nutrición</t>
  </si>
  <si>
    <t>Trabajo social</t>
  </si>
  <si>
    <t>Psicología</t>
  </si>
  <si>
    <t>SUB TOTAL VALORACIONES ADICIONALES</t>
  </si>
  <si>
    <t xml:space="preserve"> TOTAL CALIFICACIÓN TOTAL DEL INSTRUMENTO</t>
  </si>
  <si>
    <t>SATISFACTORIO DE 90% A 100%</t>
  </si>
  <si>
    <t>Institución que cumple y requiere mantenimiento en la calidad del programa</t>
  </si>
  <si>
    <t>ACEPTABLE DE 81% A 89%</t>
  </si>
  <si>
    <t>La institución requiere intensificar el  mejoramiento de los aspectos deficientes identificados en el programa</t>
  </si>
  <si>
    <t>CRÍTICO  IGUAL O MENOS  DE 80%</t>
  </si>
  <si>
    <t>La institución no cumple y requiere de manera urgente estructurar acciones de mejora para adherirse a la guía de atención del parto, requiere asesoría técnica.</t>
  </si>
  <si>
    <t>Menú</t>
  </si>
  <si>
    <t># His Clic</t>
  </si>
  <si>
    <t>Puntaje Ponderado</t>
  </si>
  <si>
    <t>Puntaje Total</t>
  </si>
  <si>
    <t>% Cumplimiento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</si>
</sst>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0">
    <font>
      <sz val="11.0"/>
      <color theme="1"/>
      <name val="Calibri"/>
      <scheme val="minor"/>
    </font>
    <font>
      <b/>
      <sz val="11.0"/>
      <color rgb="FF000000"/>
      <name val="Calibri"/>
    </font>
    <font>
      <sz val="9.0"/>
      <color theme="1"/>
      <name val="Arial"/>
    </font>
    <font/>
    <font>
      <sz val="8.0"/>
      <color theme="1"/>
      <name val="Arial"/>
    </font>
    <font>
      <sz val="12.0"/>
      <color rgb="FF000000"/>
      <name val="Calibri"/>
    </font>
    <font>
      <sz val="11.0"/>
      <color theme="1"/>
      <name val="Calibri"/>
    </font>
    <font>
      <b/>
      <sz val="11.0"/>
      <color rgb="FFFFFFFF"/>
      <name val="Calibri"/>
    </font>
    <font>
      <sz val="11.0"/>
      <color rgb="FF000000"/>
      <name val="Calibri"/>
    </font>
    <font>
      <b/>
      <sz val="11.0"/>
      <color theme="0"/>
      <name val="Calibri"/>
    </font>
    <font>
      <sz val="12.0"/>
      <color theme="0"/>
      <name val="Calibri"/>
    </font>
    <font>
      <b/>
      <sz val="11.0"/>
      <color theme="1"/>
      <name val="Calibri"/>
    </font>
    <font>
      <b/>
      <sz val="12.0"/>
      <color theme="0"/>
      <name val="Calibri"/>
    </font>
    <font>
      <sz val="11.0"/>
      <color rgb="FFFFFFFF"/>
      <name val="Calibri"/>
    </font>
    <font>
      <b/>
      <sz val="12.0"/>
      <color theme="1"/>
      <name val="Arial"/>
    </font>
    <font>
      <sz val="12.0"/>
      <color theme="1"/>
      <name val="Arial"/>
    </font>
    <font>
      <sz val="12.0"/>
      <color rgb="FF000000"/>
      <name val="Arial"/>
    </font>
    <font>
      <sz val="11.0"/>
      <color rgb="FF000000"/>
      <name val="Arial"/>
    </font>
    <font>
      <b/>
      <sz val="12.0"/>
      <color rgb="FFFFFFFF"/>
      <name val="Calibri"/>
    </font>
    <font>
      <color theme="1"/>
      <name val="Calibri"/>
      <scheme val="minor"/>
    </font>
  </fonts>
  <fills count="10">
    <fill>
      <patternFill patternType="none"/>
    </fill>
    <fill>
      <patternFill patternType="lightGray"/>
    </fill>
    <fill>
      <patternFill patternType="solid">
        <fgColor rgb="FF333333"/>
        <bgColor rgb="FF333333"/>
      </patternFill>
    </fill>
    <fill>
      <patternFill patternType="solid">
        <fgColor theme="1"/>
        <bgColor theme="1"/>
      </patternFill>
    </fill>
    <fill>
      <patternFill patternType="solid">
        <fgColor rgb="FFC0C0C0"/>
        <bgColor rgb="FFC0C0C0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92D050"/>
      </patternFill>
    </fill>
    <fill>
      <patternFill patternType="solid">
        <fgColor theme="7"/>
        <bgColor theme="7"/>
      </patternFill>
    </fill>
    <fill>
      <patternFill patternType="solid">
        <fgColor rgb="FFFF0000"/>
        <bgColor rgb="FFFF0000"/>
      </patternFill>
    </fill>
    <fill>
      <patternFill patternType="solid">
        <fgColor rgb="FF000000"/>
        <bgColor rgb="FF000000"/>
      </patternFill>
    </fill>
  </fills>
  <borders count="57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/>
      <right/>
      <top/>
      <bottom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medium">
        <color rgb="FF000000"/>
      </right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top/>
      <bottom/>
    </border>
    <border>
      <right/>
      <top/>
      <bottom/>
    </border>
    <border>
      <left style="thin">
        <color rgb="FF000000"/>
      </left>
      <right style="thin">
        <color rgb="FF000000"/>
      </right>
      <top/>
      <bottom/>
    </border>
    <border>
      <left/>
      <right style="dotted">
        <color rgb="FF000000"/>
      </right>
      <top/>
      <bottom/>
    </border>
    <border>
      <left style="dotted">
        <color rgb="FF000000"/>
      </left>
      <right style="dotted">
        <color rgb="FF000000"/>
      </right>
      <top/>
      <bottom/>
    </border>
    <border>
      <left style="medium">
        <color rgb="FF000000"/>
      </left>
      <right style="medium">
        <color rgb="FF000000"/>
      </right>
      <top/>
      <bottom/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/>
      <right style="thin">
        <color rgb="FF000000"/>
      </right>
      <top/>
      <bottom/>
    </border>
    <border>
      <left style="thin">
        <color rgb="FF000000"/>
      </left>
      <right/>
      <top/>
      <bottom/>
    </border>
    <border>
      <right style="thin">
        <color rgb="FF000000"/>
      </right>
      <top/>
      <bottom/>
    </border>
    <border>
      <left style="medium">
        <color rgb="FF000000"/>
      </left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medium">
        <color rgb="FF000000"/>
      </left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/>
      <top/>
      <bottom style="dotted">
        <color rgb="FF000000"/>
      </bottom>
    </border>
    <border>
      <left style="thin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</border>
    <border>
      <left style="dotted">
        <color rgb="FF000000"/>
      </left>
      <top style="thin">
        <color rgb="FF000000"/>
      </top>
      <bottom style="dotted">
        <color rgb="FF000000"/>
      </bottom>
    </border>
    <border>
      <top style="thin">
        <color rgb="FF000000"/>
      </top>
      <bottom style="dotted">
        <color rgb="FF000000"/>
      </bottom>
    </border>
    <border>
      <right style="medium">
        <color rgb="FF000000"/>
      </right>
      <top style="thin">
        <color rgb="FF000000"/>
      </top>
      <bottom style="dotted">
        <color rgb="FF000000"/>
      </bottom>
    </border>
    <border>
      <left style="medium">
        <color rgb="FF000000"/>
      </left>
      <right style="dotted">
        <color rgb="FF000000"/>
      </right>
      <top style="dotted">
        <color rgb="FF000000"/>
      </top>
      <bottom style="medium">
        <color rgb="FF000000"/>
      </bottom>
    </border>
    <border>
      <left style="dotted">
        <color rgb="FF000000"/>
      </left>
      <top style="dotted">
        <color rgb="FF000000"/>
      </top>
      <bottom style="medium">
        <color rgb="FF000000"/>
      </bottom>
    </border>
    <border>
      <top style="dotted">
        <color rgb="FF000000"/>
      </top>
      <bottom style="medium">
        <color rgb="FF000000"/>
      </bottom>
    </border>
    <border>
      <right style="medium">
        <color rgb="FF000000"/>
      </right>
      <top style="dotted">
        <color rgb="FF000000"/>
      </top>
      <bottom style="medium">
        <color rgb="FF000000"/>
      </bottom>
    </border>
  </borders>
  <cellStyleXfs count="1">
    <xf borderId="0" fillId="0" fontId="0" numFmtId="0" applyAlignment="1" applyFont="1"/>
  </cellStyleXfs>
  <cellXfs count="117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2" fillId="0" fontId="2" numFmtId="0" xfId="0" applyAlignment="1" applyBorder="1" applyFont="1">
      <alignment horizontal="center" shrinkToFit="0" vertical="center" wrapText="1"/>
    </xf>
    <xf borderId="3" fillId="0" fontId="3" numFmtId="0" xfId="0" applyBorder="1" applyFont="1"/>
    <xf borderId="4" fillId="0" fontId="3" numFmtId="0" xfId="0" applyBorder="1" applyFont="1"/>
    <xf borderId="2" fillId="0" fontId="4" numFmtId="0" xfId="0" applyAlignment="1" applyBorder="1" applyFont="1">
      <alignment horizontal="left" shrinkToFit="0" vertical="center" wrapText="1"/>
    </xf>
    <xf borderId="0" fillId="0" fontId="5" numFmtId="0" xfId="0" applyFont="1"/>
    <xf borderId="0" fillId="0" fontId="6" numFmtId="0" xfId="0" applyFont="1"/>
    <xf borderId="5" fillId="0" fontId="3" numFmtId="0" xfId="0" applyBorder="1" applyFont="1"/>
    <xf borderId="6" fillId="0" fontId="3" numFmtId="0" xfId="0" applyBorder="1" applyFont="1"/>
    <xf borderId="7" fillId="0" fontId="3" numFmtId="0" xfId="0" applyBorder="1" applyFont="1"/>
    <xf borderId="8" fillId="0" fontId="3" numFmtId="0" xfId="0" applyBorder="1" applyFont="1"/>
    <xf borderId="9" fillId="0" fontId="3" numFmtId="0" xfId="0" applyBorder="1" applyFont="1"/>
    <xf borderId="10" fillId="0" fontId="3" numFmtId="0" xfId="0" applyBorder="1" applyFont="1"/>
    <xf borderId="11" fillId="0" fontId="3" numFmtId="0" xfId="0" applyBorder="1" applyFont="1"/>
    <xf borderId="12" fillId="2" fontId="7" numFmtId="0" xfId="0" applyAlignment="1" applyBorder="1" applyFill="1" applyFont="1">
      <alignment horizontal="right" vertical="center"/>
    </xf>
    <xf borderId="9" fillId="0" fontId="8" numFmtId="0" xfId="0" applyAlignment="1" applyBorder="1" applyFont="1">
      <alignment horizontal="left"/>
    </xf>
    <xf borderId="12" fillId="2" fontId="7" numFmtId="0" xfId="0" applyAlignment="1" applyBorder="1" applyFont="1">
      <alignment horizontal="right"/>
    </xf>
    <xf borderId="13" fillId="0" fontId="8" numFmtId="15" xfId="0" applyAlignment="1" applyBorder="1" applyFont="1" applyNumberFormat="1">
      <alignment horizontal="left"/>
    </xf>
    <xf borderId="14" fillId="0" fontId="3" numFmtId="0" xfId="0" applyBorder="1" applyFont="1"/>
    <xf borderId="15" fillId="0" fontId="3" numFmtId="0" xfId="0" applyBorder="1" applyFont="1"/>
    <xf borderId="13" fillId="0" fontId="8" numFmtId="0" xfId="0" applyAlignment="1" applyBorder="1" applyFont="1">
      <alignment horizontal="left"/>
    </xf>
    <xf borderId="0" fillId="0" fontId="1" numFmtId="0" xfId="0" applyFont="1"/>
    <xf borderId="0" fillId="0" fontId="8" numFmtId="0" xfId="0" applyAlignment="1" applyFont="1">
      <alignment horizontal="center"/>
    </xf>
    <xf borderId="16" fillId="3" fontId="7" numFmtId="0" xfId="0" applyAlignment="1" applyBorder="1" applyFill="1" applyFont="1">
      <alignment horizontal="center" vertical="center"/>
    </xf>
    <xf borderId="17" fillId="0" fontId="3" numFmtId="0" xfId="0" applyBorder="1" applyFont="1"/>
    <xf borderId="16" fillId="2" fontId="7" numFmtId="0" xfId="0" applyAlignment="1" applyBorder="1" applyFont="1">
      <alignment horizontal="center" vertical="center"/>
    </xf>
    <xf borderId="18" fillId="2" fontId="7" numFmtId="0" xfId="0" applyAlignment="1" applyBorder="1" applyFont="1">
      <alignment horizontal="center" shrinkToFit="0" vertical="center" wrapText="1"/>
    </xf>
    <xf borderId="18" fillId="2" fontId="7" numFmtId="0" xfId="0" applyAlignment="1" applyBorder="1" applyFont="1">
      <alignment horizontal="center" vertical="center"/>
    </xf>
    <xf borderId="19" fillId="0" fontId="1" numFmtId="0" xfId="0" applyAlignment="1" applyBorder="1" applyFont="1">
      <alignment horizontal="center" shrinkToFit="0" vertical="center" wrapText="1"/>
    </xf>
    <xf borderId="20" fillId="0" fontId="8" numFmtId="0" xfId="0" applyAlignment="1" applyBorder="1" applyFont="1">
      <alignment shrinkToFit="0" vertical="center" wrapText="1"/>
    </xf>
    <xf borderId="21" fillId="0" fontId="8" numFmtId="0" xfId="0" applyAlignment="1" applyBorder="1" applyFont="1">
      <alignment horizontal="center" readingOrder="0" shrinkToFit="0" vertical="top" wrapText="1"/>
    </xf>
    <xf borderId="21" fillId="0" fontId="8" numFmtId="0" xfId="0" applyAlignment="1" applyBorder="1" applyFont="1">
      <alignment horizontal="center" shrinkToFit="0" vertical="top" wrapText="1"/>
    </xf>
    <xf borderId="22" fillId="0" fontId="8" numFmtId="0" xfId="0" applyAlignment="1" applyBorder="1" applyFont="1">
      <alignment horizontal="center" vertical="center"/>
    </xf>
    <xf borderId="22" fillId="0" fontId="6" numFmtId="1" xfId="0" applyAlignment="1" applyBorder="1" applyFont="1" applyNumberFormat="1">
      <alignment horizontal="center" vertical="center"/>
    </xf>
    <xf borderId="23" fillId="0" fontId="8" numFmtId="0" xfId="0" applyAlignment="1" applyBorder="1" applyFont="1">
      <alignment horizontal="center" vertical="center"/>
    </xf>
    <xf borderId="0" fillId="0" fontId="5" numFmtId="0" xfId="0" applyAlignment="1" applyFont="1">
      <alignment horizontal="center"/>
    </xf>
    <xf borderId="24" fillId="0" fontId="3" numFmtId="0" xfId="0" applyBorder="1" applyFont="1"/>
    <xf borderId="20" fillId="0" fontId="8" numFmtId="0" xfId="0" applyAlignment="1" applyBorder="1" applyFont="1">
      <alignment horizontal="center" shrinkToFit="0" vertical="top" wrapText="1"/>
    </xf>
    <xf borderId="25" fillId="0" fontId="3" numFmtId="0" xfId="0" applyBorder="1" applyFont="1"/>
    <xf borderId="20" fillId="0" fontId="8" numFmtId="0" xfId="0" applyAlignment="1" applyBorder="1" applyFont="1">
      <alignment horizontal="center" readingOrder="0" shrinkToFit="0" vertical="top" wrapText="1"/>
    </xf>
    <xf borderId="0" fillId="0" fontId="6" numFmtId="0" xfId="0" applyAlignment="1" applyFont="1">
      <alignment horizontal="center"/>
    </xf>
    <xf borderId="26" fillId="0" fontId="3" numFmtId="0" xfId="0" applyBorder="1" applyFont="1"/>
    <xf borderId="20" fillId="0" fontId="6" numFmtId="0" xfId="0" applyBorder="1" applyFont="1"/>
    <xf borderId="27" fillId="0" fontId="8" numFmtId="0" xfId="0" applyAlignment="1" applyBorder="1" applyFont="1">
      <alignment horizontal="center" readingOrder="0" shrinkToFit="0" vertical="top" wrapText="1"/>
    </xf>
    <xf borderId="27" fillId="0" fontId="8" numFmtId="0" xfId="0" applyAlignment="1" applyBorder="1" applyFont="1">
      <alignment horizontal="center" shrinkToFit="0" vertical="top" wrapText="1"/>
    </xf>
    <xf borderId="28" fillId="0" fontId="3" numFmtId="0" xfId="0" applyBorder="1" applyFont="1"/>
    <xf borderId="29" fillId="0" fontId="3" numFmtId="0" xfId="0" applyBorder="1" applyFont="1"/>
    <xf borderId="30" fillId="3" fontId="9" numFmtId="0" xfId="0" applyAlignment="1" applyBorder="1" applyFont="1">
      <alignment horizontal="right" shrinkToFit="0" vertical="center" wrapText="1"/>
    </xf>
    <xf borderId="31" fillId="0" fontId="3" numFmtId="0" xfId="0" applyBorder="1" applyFont="1"/>
    <xf borderId="32" fillId="3" fontId="9" numFmtId="0" xfId="0" applyAlignment="1" applyBorder="1" applyFont="1">
      <alignment horizontal="center" vertical="center"/>
    </xf>
    <xf borderId="32" fillId="3" fontId="10" numFmtId="0" xfId="0" applyAlignment="1" applyBorder="1" applyFont="1">
      <alignment horizontal="center" vertical="center"/>
    </xf>
    <xf borderId="33" fillId="3" fontId="9" numFmtId="0" xfId="0" applyAlignment="1" applyBorder="1" applyFont="1">
      <alignment horizontal="center" vertical="center"/>
    </xf>
    <xf borderId="34" fillId="3" fontId="9" numFmtId="0" xfId="0" applyAlignment="1" applyBorder="1" applyFont="1">
      <alignment horizontal="center" vertical="center"/>
    </xf>
    <xf borderId="35" fillId="4" fontId="11" numFmtId="9" xfId="0" applyAlignment="1" applyBorder="1" applyFill="1" applyFont="1" applyNumberFormat="1">
      <alignment horizontal="center" vertical="center"/>
    </xf>
    <xf borderId="21" fillId="0" fontId="8" numFmtId="0" xfId="0" applyAlignment="1" applyBorder="1" applyFont="1">
      <alignment shrinkToFit="0" vertical="center" wrapText="1"/>
    </xf>
    <xf borderId="21" fillId="5" fontId="8" numFmtId="0" xfId="0" applyAlignment="1" applyBorder="1" applyFill="1" applyFont="1">
      <alignment horizontal="center" shrinkToFit="0" vertical="top" wrapText="1"/>
    </xf>
    <xf borderId="21" fillId="5" fontId="6" numFmtId="0" xfId="0" applyAlignment="1" applyBorder="1" applyFont="1">
      <alignment horizontal="center"/>
    </xf>
    <xf borderId="22" fillId="5" fontId="6" numFmtId="0" xfId="0" applyAlignment="1" applyBorder="1" applyFont="1">
      <alignment horizontal="center" vertical="center"/>
    </xf>
    <xf borderId="23" fillId="5" fontId="11" numFmtId="0" xfId="0" applyAlignment="1" applyBorder="1" applyFont="1">
      <alignment horizontal="center"/>
    </xf>
    <xf borderId="20" fillId="5" fontId="8" numFmtId="0" xfId="0" applyAlignment="1" applyBorder="1" applyFont="1">
      <alignment horizontal="center" shrinkToFit="0" vertical="top" wrapText="1"/>
    </xf>
    <xf borderId="20" fillId="5" fontId="6" numFmtId="0" xfId="0" applyAlignment="1" applyBorder="1" applyFont="1">
      <alignment horizontal="center"/>
    </xf>
    <xf borderId="36" fillId="0" fontId="3" numFmtId="0" xfId="0" applyBorder="1" applyFont="1"/>
    <xf borderId="37" fillId="0" fontId="3" numFmtId="0" xfId="0" applyBorder="1" applyFont="1"/>
    <xf borderId="12" fillId="3" fontId="10" numFmtId="0" xfId="0" applyAlignment="1" applyBorder="1" applyFont="1">
      <alignment vertical="center"/>
    </xf>
    <xf borderId="38" fillId="3" fontId="9" numFmtId="0" xfId="0" applyAlignment="1" applyBorder="1" applyFont="1">
      <alignment horizontal="right" shrinkToFit="0" vertical="center" wrapText="1"/>
    </xf>
    <xf borderId="39" fillId="3" fontId="9" numFmtId="0" xfId="0" applyAlignment="1" applyBorder="1" applyFont="1">
      <alignment vertical="center"/>
    </xf>
    <xf borderId="23" fillId="0" fontId="6" numFmtId="1" xfId="0" applyAlignment="1" applyBorder="1" applyFont="1" applyNumberFormat="1">
      <alignment horizontal="center" vertical="center"/>
    </xf>
    <xf borderId="20" fillId="5" fontId="8" numFmtId="0" xfId="0" applyAlignment="1" applyBorder="1" applyFont="1">
      <alignment shrinkToFit="0" vertical="center" wrapText="1"/>
    </xf>
    <xf borderId="0" fillId="0" fontId="6" numFmtId="0" xfId="0" applyAlignment="1" applyFont="1">
      <alignment shrinkToFit="0" wrapText="1"/>
    </xf>
    <xf borderId="27" fillId="0" fontId="8" numFmtId="0" xfId="0" applyAlignment="1" applyBorder="1" applyFont="1">
      <alignment shrinkToFit="0" vertical="center" wrapText="1"/>
    </xf>
    <xf borderId="32" fillId="3" fontId="9" numFmtId="0" xfId="0" applyAlignment="1" applyBorder="1" applyFont="1">
      <alignment horizontal="center"/>
    </xf>
    <xf borderId="21" fillId="0" fontId="8" numFmtId="0" xfId="0" applyAlignment="1" applyBorder="1" applyFont="1">
      <alignment vertical="center"/>
    </xf>
    <xf borderId="20" fillId="0" fontId="8" numFmtId="0" xfId="0" applyAlignment="1" applyBorder="1" applyFont="1">
      <alignment vertical="center"/>
    </xf>
    <xf borderId="27" fillId="0" fontId="8" numFmtId="0" xfId="0" applyAlignment="1" applyBorder="1" applyFont="1">
      <alignment vertical="center"/>
    </xf>
    <xf borderId="34" fillId="3" fontId="9" numFmtId="1" xfId="0" applyAlignment="1" applyBorder="1" applyFont="1" applyNumberFormat="1">
      <alignment horizontal="center" vertical="center"/>
    </xf>
    <xf borderId="21" fillId="0" fontId="6" numFmtId="0" xfId="0" applyAlignment="1" applyBorder="1" applyFont="1">
      <alignment shrinkToFit="0" vertical="center" wrapText="1"/>
    </xf>
    <xf borderId="20" fillId="0" fontId="6" numFmtId="0" xfId="0" applyAlignment="1" applyBorder="1" applyFont="1">
      <alignment shrinkToFit="0" vertical="center" wrapText="1"/>
    </xf>
    <xf borderId="27" fillId="0" fontId="6" numFmtId="0" xfId="0" applyAlignment="1" applyBorder="1" applyFont="1">
      <alignment shrinkToFit="0" vertical="center" wrapText="1"/>
    </xf>
    <xf borderId="8" fillId="0" fontId="8" numFmtId="0" xfId="0" applyAlignment="1" applyBorder="1" applyFont="1">
      <alignment horizontal="center" shrinkToFit="0" vertical="top" wrapText="1"/>
    </xf>
    <xf borderId="40" fillId="0" fontId="3" numFmtId="0" xfId="0" applyBorder="1" applyFont="1"/>
    <xf borderId="22" fillId="0" fontId="6" numFmtId="1" xfId="0" applyAlignment="1" applyBorder="1" applyFont="1" applyNumberFormat="1">
      <alignment horizontal="center" shrinkToFit="0" vertical="center" wrapText="1"/>
    </xf>
    <xf borderId="23" fillId="0" fontId="11" numFmtId="9" xfId="0" applyAlignment="1" applyBorder="1" applyFont="1" applyNumberFormat="1">
      <alignment horizontal="center" vertical="center"/>
    </xf>
    <xf borderId="19" fillId="0" fontId="11" numFmtId="0" xfId="0" applyAlignment="1" applyBorder="1" applyFont="1">
      <alignment horizontal="center" shrinkToFit="0" vertical="center" wrapText="1"/>
    </xf>
    <xf borderId="41" fillId="3" fontId="9" numFmtId="0" xfId="0" applyAlignment="1" applyBorder="1" applyFont="1">
      <alignment horizontal="right" shrinkToFit="0" vertical="center" wrapText="1"/>
    </xf>
    <xf borderId="42" fillId="0" fontId="3" numFmtId="0" xfId="0" applyBorder="1" applyFont="1"/>
    <xf borderId="43" fillId="3" fontId="9" numFmtId="0" xfId="0" applyAlignment="1" applyBorder="1" applyFont="1">
      <alignment horizontal="center"/>
    </xf>
    <xf borderId="44" fillId="4" fontId="11" numFmtId="9" xfId="0" applyAlignment="1" applyBorder="1" applyFont="1" applyNumberFormat="1">
      <alignment horizontal="center" vertical="center"/>
    </xf>
    <xf borderId="13" fillId="3" fontId="12" numFmtId="0" xfId="0" applyAlignment="1" applyBorder="1" applyFont="1">
      <alignment horizontal="right" shrinkToFit="0" vertical="center" wrapText="1"/>
    </xf>
    <xf borderId="20" fillId="3" fontId="12" numFmtId="0" xfId="0" applyAlignment="1" applyBorder="1" applyFont="1">
      <alignment horizontal="center" vertical="center"/>
    </xf>
    <xf borderId="20" fillId="3" fontId="12" numFmtId="1" xfId="0" applyAlignment="1" applyBorder="1" applyFont="1" applyNumberFormat="1">
      <alignment horizontal="center" vertical="center"/>
    </xf>
    <xf borderId="45" fillId="4" fontId="11" numFmtId="9" xfId="0" applyAlignment="1" applyBorder="1" applyFont="1" applyNumberFormat="1">
      <alignment horizontal="center" vertical="center"/>
    </xf>
    <xf borderId="46" fillId="6" fontId="1" numFmtId="0" xfId="0" applyAlignment="1" applyBorder="1" applyFill="1" applyFont="1">
      <alignment shrinkToFit="0" vertical="center" wrapText="1"/>
    </xf>
    <xf borderId="47" fillId="6" fontId="8" numFmtId="0" xfId="0" applyAlignment="1" applyBorder="1" applyFont="1">
      <alignment horizontal="left" shrinkToFit="0" vertical="center" wrapText="1"/>
    </xf>
    <xf borderId="48" fillId="0" fontId="3" numFmtId="0" xfId="0" applyBorder="1" applyFont="1"/>
    <xf borderId="49" fillId="7" fontId="1" numFmtId="0" xfId="0" applyAlignment="1" applyBorder="1" applyFill="1" applyFont="1">
      <alignment shrinkToFit="0" vertical="center" wrapText="1"/>
    </xf>
    <xf borderId="50" fillId="7" fontId="8" numFmtId="0" xfId="0" applyAlignment="1" applyBorder="1" applyFont="1">
      <alignment horizontal="left" shrinkToFit="0" vertical="center" wrapText="1"/>
    </xf>
    <xf borderId="51" fillId="0" fontId="3" numFmtId="0" xfId="0" applyBorder="1" applyFont="1"/>
    <xf borderId="52" fillId="0" fontId="3" numFmtId="0" xfId="0" applyBorder="1" applyFont="1"/>
    <xf borderId="53" fillId="8" fontId="1" numFmtId="0" xfId="0" applyAlignment="1" applyBorder="1" applyFill="1" applyFont="1">
      <alignment shrinkToFit="0" vertical="center" wrapText="1"/>
    </xf>
    <xf borderId="54" fillId="8" fontId="8" numFmtId="0" xfId="0" applyAlignment="1" applyBorder="1" applyFont="1">
      <alignment horizontal="left" shrinkToFit="0" vertical="center" wrapText="1"/>
    </xf>
    <xf borderId="55" fillId="0" fontId="3" numFmtId="0" xfId="0" applyBorder="1" applyFont="1"/>
    <xf borderId="56" fillId="0" fontId="3" numFmtId="0" xfId="0" applyBorder="1" applyFont="1"/>
    <xf borderId="10" fillId="0" fontId="5" numFmtId="0" xfId="0" applyBorder="1" applyFont="1"/>
    <xf borderId="12" fillId="2" fontId="13" numFmtId="0" xfId="0" applyAlignment="1" applyBorder="1" applyFont="1">
      <alignment horizontal="center" vertical="center"/>
    </xf>
    <xf borderId="0" fillId="0" fontId="8" numFmtId="0" xfId="0" applyFont="1"/>
    <xf borderId="0" fillId="0" fontId="8" numFmtId="0" xfId="0" applyAlignment="1" applyFont="1">
      <alignment horizontal="center" vertical="center"/>
    </xf>
    <xf borderId="0" fillId="0" fontId="5" numFmtId="0" xfId="0" applyAlignment="1" applyFont="1">
      <alignment horizontal="center" vertical="center"/>
    </xf>
    <xf borderId="0" fillId="0" fontId="14" numFmtId="0" xfId="0" applyAlignment="1" applyFont="1">
      <alignment horizontal="center" vertical="center"/>
    </xf>
    <xf borderId="0" fillId="0" fontId="15" numFmtId="0" xfId="0" applyAlignment="1" applyFont="1">
      <alignment vertical="center"/>
    </xf>
    <xf borderId="0" fillId="0" fontId="16" numFmtId="0" xfId="0" applyAlignment="1" applyFont="1">
      <alignment vertical="center"/>
    </xf>
    <xf borderId="0" fillId="0" fontId="17" numFmtId="0" xfId="0" applyAlignment="1" applyFont="1">
      <alignment horizontal="left" vertical="center"/>
    </xf>
    <xf borderId="0" fillId="0" fontId="15" numFmtId="0" xfId="0" applyAlignment="1" applyFont="1">
      <alignment horizontal="center" vertical="center"/>
    </xf>
    <xf borderId="12" fillId="9" fontId="18" numFmtId="0" xfId="0" applyAlignment="1" applyBorder="1" applyFill="1" applyFont="1">
      <alignment horizontal="center" shrinkToFit="0" vertical="center" wrapText="1"/>
    </xf>
    <xf borderId="12" fillId="9" fontId="18" numFmtId="10" xfId="0" applyAlignment="1" applyBorder="1" applyFont="1" applyNumberFormat="1">
      <alignment horizontal="center" shrinkToFit="0" vertical="center" wrapText="1"/>
    </xf>
    <xf borderId="0" fillId="0" fontId="19" numFmtId="0" xfId="0" applyFont="1"/>
    <xf borderId="0" fillId="0" fontId="6" numFmtId="9" xfId="0" applyFont="1" applyNumberFormat="1"/>
  </cellXfs>
  <cellStyles count="1">
    <cellStyle xfId="0" name="Normal" builtinId="0"/>
  </cellStyles>
  <dxfs count="3">
    <dxf>
      <font/>
      <fill>
        <patternFill patternType="solid">
          <fgColor theme="9"/>
          <bgColor theme="9"/>
        </patternFill>
      </fill>
      <border/>
    </dxf>
    <dxf>
      <font/>
      <fill>
        <patternFill patternType="solid">
          <fgColor theme="7"/>
          <bgColor theme="7"/>
        </patternFill>
      </fill>
      <border/>
    </dxf>
    <dxf>
      <font/>
      <fill>
        <patternFill patternType="solid">
          <fgColor rgb="FFFF0000"/>
          <bgColor rgb="FFFF000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104775</xdr:colOff>
      <xdr:row>103</xdr:row>
      <xdr:rowOff>123825</xdr:rowOff>
    </xdr:from>
    <xdr:ext cx="10782300" cy="54073425"/>
    <xdr:sp>
      <xdr:nvSpPr>
        <xdr:cNvPr id="3" name="Shape 3"/>
        <xdr:cNvSpPr txBox="1"/>
      </xdr:nvSpPr>
      <xdr:spPr>
        <a:xfrm>
          <a:off x="0" y="0"/>
          <a:ext cx="10692000" cy="756000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INSTRUMENTO DE ADHERENCIA A LOS LINEAMIENTOS PARA LA ATENCIÓN PARA EL CUIDADO PRENATAL POR MEDICINA Y ENFERMERÍA</a:t>
          </a:r>
          <a:endParaRPr sz="1400"/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Manual de Diligenciamiento de los instrumentos de adherencia a guías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Deben ser diligenciados en  una muestra significativa  de los pacientes  egresados en el periodo de evaluación de acuerdo al método de muestreo anexo.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IPS: </a:t>
          </a:r>
          <a:r>
            <a:rPr b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IPS que diligencia el formato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Periodo evaluado: </a:t>
          </a:r>
          <a:r>
            <a:rPr b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Indicar el periodo de tiempo de evaluación (ejemplo: primer trimestre)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Fecha:</a:t>
          </a:r>
          <a:r>
            <a:rPr b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Fecha en que se realiza la evaluación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# Historia clínica: </a:t>
          </a:r>
          <a:r>
            <a:rPr b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Numero de historia del paciente evaluado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1. Se diligencia en la historia clínica identificación: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Nombre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el nombre completo de la usuaria</a:t>
          </a:r>
          <a:endParaRPr b="0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Edad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: 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edad de la gestante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Dirección y Teléfono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dirección y numero telefónico completo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Ocupación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ocupación que realiza la usuaria 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Escolaridad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escolaridad de la gestante.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Acompañante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nombre del acompañante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Identifica y registra variables de enfoque diferencial: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</a:t>
          </a:r>
          <a:r>
            <a:rPr b="0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la historia clínica las variables de identidad de género, discapacidad, grupo étnico </a:t>
          </a:r>
          <a:endParaRPr b="0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NO CUMPLE: 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falta uno o varios de los ítems evaluados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2. SE DILIGENCIAN ANTECEDENTES RELEVANTES PARA EL CUIDADO PRENATAL EN LA HISTORIA CLÍNICA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Personales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indaga y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los antecedentes personales relacionados con  </a:t>
          </a:r>
          <a:r>
            <a:rPr b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patológicos, quirúrgicos, nutricionales, traumáticos, tóxicos, alérgicos, (medicamentos  recibidos, tabaquismo, alcoholismo, sustancias psicoactivas, exposición a tóxicos e irradiación y otros), </a:t>
          </a:r>
          <a:r>
            <a:rPr b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de violencia basada en género </a:t>
          </a:r>
          <a:r>
            <a:rPr b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trastornos mentales, signos de alarma y tratamientos recibidos durante la gestación actual, trombosis venosa profunda, tromboembolismo y trastornos de hipercoagulabilidad, cirugía</a:t>
          </a:r>
          <a:r>
            <a:rPr b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genitourinaria, cardiopatía o nefropatía.</a:t>
          </a:r>
          <a:endParaRPr b="0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Antecedentes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Familiares: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 se indaga y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los antecedente sobre 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hipertensión arterial crónica, preeclampsia, eclampsia, cardiopatías, diabetes, metabólicas, autoinmunes, infecciosas, congénitas, epilepsia, trastornos mentales, gestaciones múltiples, tuberculosis, neoplasias y otras. </a:t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Antecedentes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Ginecológicos</a:t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Calibri"/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indaga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y registra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</a:t>
          </a:r>
          <a:r>
            <a:rPr b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edad de la menarquía, patrón de ciclos menstruales, fecha de las dos últimas menstruaciones, métodos anticonceptivos utilizados y hasta cuando, antecedente o presencia de flujos vaginales, infecciones de transmisión sexual incluyendo el VIH, historia y tratamientos de infertilidad. Indagar sobre tamización de cáncer de cuello uterino.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NO CUMPLE: 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falta uno o varios de los ítems evaluados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b="1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3. SE DILIGENCIA EN LA HISTORIA CLÍNICA ANTECEDENTES OBSTÉTRICOS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Identifica confiabilidad de la fecha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de última regla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y la emplea para estimar edad gestacional y fecha probable de parto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Registra si la fecha de última menstruación es confiable y se emplea para estimar edad gestacional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y fecha probable de parto.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Infecciones de transmisión sexual previa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indaga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y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sobre antecedentes de enfermedades de trasmisión sexual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con énfasis en sífilis, y Hepatitis B.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Formula obstétrica detallada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formula obstétrica completa, embarazos, partos, abortos, cesárea, nacidos vivos, mortinatos 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Historia de desenlace obstétrico previo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indaga y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total de gestaciones, intervalos intergenésicos, abortos, ectópicos, molas, placenta previa, abruptio, ruptura prematura de membranas, polihidramnios, oligoamnios, restricción en el crecimiento intrauterino, hemorragia posparto, preeclampsia - eclampsia, evento trombótico en puerperio, parto pretérmino, Enfermedad Trofoblástica Gestacional.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Identifica si hubo falla de anticoncepción previa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Si,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métodos de anticoncepción previo a la gestación actual, tiempo de duración y causas de falla.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Tamización cáncer de cuello uterino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indaga y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sobre tiempo de realización y  resultado de la citología teniendo en cuenta la pertinencia de acuerdo a grupo etáreo  y riesgo de ITS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NO CUMPLE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: Si falta uno o varios de los ítems evaluados</a:t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4. SE DILIGENCIA EN LA HISTORIA CLÍNICA REVISIÓN POR SISTEMAS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Sangrado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Clínica, si presenta sangrado y características de este sangrado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Características anormales de flujo vaginal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presencia y características anormales del flujo vaginal  (prurito y olor fétido).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Síntomas urinarios</a:t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síntomas urinarios como disuria, polaquiuria, nicturia y urgencia miccional.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Movimientos fetales (*)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percepción de los movimientos fetales por parte de la gestante (aplica solo si se evalúa posterior a la semana gestacional 18).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Síntomas premonitorios de eclampsia (*)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 indaga y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síntomas premonitorios de eclampsia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(cefalea, visión borrosa, tinitus, fosfenos, epigastralgia, emesis en el III trimestre).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Cardiopulmonar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indaga y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presencia de sincope, disnea de esfuerzo, edema de MMII, palpitaciones, taquicardia, bradicardia , cianosis, calambres y varices.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Coagulopatías (**)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indaga y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el tamizaje de coagulopatia: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Es positivo si  contesta afirmativamente una de las siguientes preguntas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:</a:t>
          </a:r>
          <a:endParaRPr b="0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1. Sangrado genital abundante desde menarquía</a:t>
          </a:r>
          <a:endParaRPr b="0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2. Uno de los siguientes: </a:t>
          </a:r>
          <a:endParaRPr b="0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hemorragia posparto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sangrado relacionado con un procedimiento quirúrgico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sangrado relacionado con un procedimiento dental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3. Dos o más de los siguientes síntomas:</a:t>
          </a:r>
          <a:endParaRPr b="0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equimosis una a dos veces al mes 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epistaxis una a dos veces al mes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sangrado frecuente de encías 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antecedentes familiares de síntomas de sangrado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NO CUMPLE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: Si falta uno o varios de los ítems evaluados</a:t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5. SE HACE EXAMEN FÍSICO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Estado General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</a:t>
          </a:r>
          <a:r>
            <a:rPr b="1" i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examen físico completo por sistemas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: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 debe hacerse céfalo caudal incluida la cavidad bucal, tomar signos vitales: pulso, respiración, temperatura y tensión arterial.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Signos vitales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signos vitales completos (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pulso, respiración, temperatura y tensión arterial)</a:t>
          </a:r>
          <a:endParaRPr b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Peso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Talla (***)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toma la medidas antropométricas peso y  talla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Cabeza y cuello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a la exploración física  la identificación de normalidad o no en el segmento de cabeza y cuello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Cardiopulmonar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a la exploración física  la identificación de normalidad o no en el segmento de cardiopulmonar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Abdomen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a la exploración física  la identificación de normalidad o no en el segmento de abdomen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Genitourinario:     </a:t>
          </a:r>
          <a:r>
            <a:rPr b="0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 la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valoración del cuello, tamaño, posición uterina y anexos, comprobar la existencia de la gestación, descartar gestación extrauterina e investigar patología anexial. presencia o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no de secreciones normal o anormal incluido sangrado genital.</a:t>
          </a:r>
          <a:endParaRPr b="0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Neurológico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a la exploración física  la identificación de normalidad en el sistema neurológico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</a:t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Fetocardia </a:t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frecuencia cardiaca fetal, teniendo en cuenta la edad gestacional.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Altura uterina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de la altura uterina. 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Extremidades                                               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a la exploración física  la identificación de normalidad o no en el segmento de extremidades.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NO CUMPLE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: Si falta uno o varios de los ítems evaluados</a:t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6. CURVA DE PESO Y ALTURA UTERINA</a:t>
          </a:r>
          <a:endParaRPr b="0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Curva peso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curva de peso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Curva altura uterina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Si se registra en la historia clínica la curva de altura uterina</a:t>
          </a:r>
          <a:endParaRPr b="1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rgbClr val="000000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b="1"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NO CUMPLE: Si</a:t>
          </a: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falta uno</a:t>
          </a: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o</a:t>
          </a: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varios de los ítems evaluados</a:t>
          </a: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en la curva, teniendo en cuenta la grafica de evaluación nutricional de la embarazada"Atalah".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7. SE CLASIFICA RIESGO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Psicosocial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identificación del riesgo psicosocial en cada trimestre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Biológico -Obstétrico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: 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identificación del riesgo biologico-obstetrico en cada control prenatal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,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teniendo en cuenta la 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Escala de Riesgo biopsicosocial de Herrera y Hurtado</a:t>
          </a:r>
          <a:endParaRPr b="0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Clasificación de riesgo tromboembólico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identifica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en cada control prenatal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  los factores de riesgo para la implementación de intervenciones para la prevención de eventos tromboembólicos venosos durante la gestación, parto o puerperio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Los factores de muy alto riesgo y de alto riesgo que incrementan la posibilidad de presentar un evento tromboembólico venoso son: 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Trombofilias heredadas o adquiridas.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evento tromboembólico venoso previo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Anemia de células falciformes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Indaga sobre exposición a violencia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indaga y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sobre exposición a violencia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DURANTE EL ÚLTIMO AÑO, fue golpeada, bofeteada, pateada, o lastimada físicamente de otra manera?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desde QUE ESTÁ EN GESTACIÓN, ha sido golpeada, bofeteada, pateada, o lastimada físicamente de alguna manera?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DURANTE EL ÚLTIMO AÑO, fue forzada a tener relaciones sexuales?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la respuesta es positiva a una de las anteriores preguntas, se debe derivar a la 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Ruta Integral de Atención en Salud para la población con riesgo o víctima de violencia.</a:t>
          </a:r>
          <a:endParaRPr b="0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Identifica riesgo de depresión pos parto ( semana 28)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indaga y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el riesgo de depresión pos parto</a:t>
          </a:r>
          <a:endParaRPr b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Identificar riesgo de depresión post parto utilizando las siguientes preguntas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Durante el mes pasado, ¿con frecuencia se ha sentido triste, deprimida o sin esperanza?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Durante el mes pasado, ¿ha permanecido preocupada por tener poco interés o placer para hacer las cosas cotidianas?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Una tercera pregunta se debe considerar si la mujer responde “sí” a cualquiera de las preguntas iniciales: ¿Siente que necesita ayuda? 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Indagar a todas las mujeres en edad fértil con deseo reproductivo sobre el uso de alcohol, tabaco y sustancias psicoactivas.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NO CUMPLE: 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falta uno o varios de los ítems evaluados</a:t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8. ANÁLISIS, DIAGNÓSTICO Y PLAN DE MANEJO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b="1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ANÁLISIS</a:t>
          </a:r>
          <a:endParaRPr b="0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: Si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se registra en la historia clínica el análisis del caso.</a:t>
          </a:r>
          <a:endParaRPr b="0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b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</a:b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DIAGNÓSTICO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se registra en la historia clínica el diagnóstico del caso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.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1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PLAN DE MANEJ0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Si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se registra en la historia clínica el plan de manejo del caso.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NO CUMPLE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: Si no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se registra 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en la historia clínica.</a:t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9. SE BRINDA INFORMACIÓN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Asesoría formal anticoncepción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: 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asesoría formal de anticoncepción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.</a:t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Información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en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Sentencia C 355 de 2006 IVE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Orientación y asesoría para la toma de decisiones frente a las causales previstas por la sentencia C-355 de 2006, garantizando siempre la autonomía de la mujer y su derecho a decidir si continúa o no con el embarazo.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Lactancia materna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Vacunación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información de lactancia materna y vacunación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Signos de alarma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los signos de alarma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Orientar sobre los signos de alarma por los que debe consultar oportunamente, tales como: hipertensión arterial, cefalea, trastornos visuales y auditivos, epigastralgia, edemas, disminución marcada o ausencia de movimientos fetales, actividad uterina, sangrado genital, amniorrea o leucorrea, o sintomatología urinaria y tos.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NO CUMPLE: 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falta uno o varios de los ítems evaluados</a:t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10. SE REVISAN LABORATORIOS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Cuadro hemático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: 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revisión e interpretación del paraclínico el cual se debe realizar al inicio del CPN la semana 28 y el día del parto.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Urocultivo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                                                                                                                          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revisión e interpretación del paraclínico el cual se debe realizar al inicio del control prenatal, y se debe realizar un seguimiento en gestante que reciben tratamiento para bacteriuria asintomática.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Hemoclasificación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revisión e interpretación del paraclínico el cual se debe realizar al inicio del CPN 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Prueba rápida  VIH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la historia clínica la revisión e interpretación del paraclínico p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rueba rápida para VIH (VIH 1-VIH 2). Se ofrece asesoría para la prueba voluntaria de VIH. Realizar en cada trimestre de la gestación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Prueba treponémica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rápida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la historia clínica la revisión e interpretación del paraclínico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rueba treponémica rápida para sífilis en gestantes (aplicada en el momento y el sitio de la consulta). Realizar en cada trimestre de gestación y en el momento del parto.</a:t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.</a:t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Antígeno de superficie Hepatitis B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realización e interpretación del paraclínico realizado al inicio del control prenatal.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Prueba serológica para toxoplasma IgG e IgM                                                                         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: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la historia clínica la realización del paraclínico de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pruebas de IgG e IgM para toxoplasma en los casos en los que no se conozca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el estatus del toxoplasma. Y solo IgM si se identifica antecedente de la infección.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la IgG e IgM toxoplasma es negativa se debe hacer tamización mensual con IgM para identificar seroconversión.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Ecografía obstétrica                                                                                                                                                 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realización e interpretación</a:t>
          </a:r>
          <a:r>
            <a:rPr b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de</a:t>
          </a:r>
          <a:r>
            <a:rPr b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las ecografías teniendo en cuenta la edad gestacional.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Ecografía entre las 10 semanas + 6 días y 13 semanas+ 6 días, la cual se realiza para tamizaje de aneuploidías; se recomienda que sea tomado por profesional en ginecología o radiología con el entrenamiento requerido y que se reporte la razón de riesgo para T13 - 18 y 21. Se debe ofrecer la asesoría según el resultado y remitir a Ginecoobstetricia para estudios confirmatorios en caso de tamizaje positivo.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Ecografía obstétrica cuando la altura uterina sea menor del percentil 10 o mayor del percentil 90.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Ecografía obstétrica para la detección de anomalías estructurales. Realizar entre la semana 18 y semana 23 + 6 días.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Glicemia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realización e interpretación del paraclínico realizado al inicio del control prenatal.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Prueba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de tolerancia oral a la glucosa 75 gr ( la sem 24-28)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realización e interpretación del paraclínico realizada en la semana 24 -28 de gestación</a:t>
          </a:r>
          <a:endParaRPr b="0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Tamizaje para Chagas si gestante con factores de riesgo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realización e interpretación del paraclínico realizado. Solo aplica si la procedencia de la paciente es de  zonas  endémicas de Chagas.</a:t>
          </a:r>
          <a:endParaRPr b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Hacer tamizaje en zonas endémicas para enfermedad de Chagas.  Se realizará prueba de ELISA (antígenos totales/crudos) en suero con sensibilidad recomendada &gt;= 98% para tamizaje en gestantes que hayan sido residentes (nacidas o procedentes) en áreas endémicas. Se recomienda considerar la presencia de factores de riesgo en cualquier momento de la vida de la embarazada como: conocimiento del vector «pito», vivienda con piso de tierra, techo de palma o pared de bahareque ubicada a menos de 2.000 m sobre el nivel del mar, tener familiares con diagnóstico de enfermedad de Chagas o haber recibido transfusiones sanguíneas principalmente antes del año 1995. 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Ante un resultado positivo o indeterminado de la prueba de tamizaje, se deberá realizar como prueba complementaria, ELISA antígenos recombinantes con especificidad recomendada &gt;=98%.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La detección de infección por T. cruzi (enfermedad de Chagas) en la gestante conllevará al análisis posterior en el producto para identificar transmisión transplacentaria.</a:t>
          </a:r>
          <a:endParaRPr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Cultivo vaginorectal de estreptococo B (semana 35-37)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realización la interpretación del paraclínico realizado entre la semana 35 y 37 de gestación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Tamizaje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de gota gruesa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Calibri"/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realización e interpretación del paraclínico realizado. Solo aplica si la procedencia de la paciente es de  zonas endémicas para malaria. </a:t>
          </a:r>
          <a:endParaRPr b="0" sz="11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NO CUMPLE: 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falta uno o varios de los ítems evaluados</a:t>
          </a:r>
          <a:endParaRPr sz="11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11. SE REALIZAN VALORACIONES ADICIONALES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Odontología      </a:t>
          </a:r>
          <a:r>
            <a:rPr b="0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                                             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de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La atención en salud bucal de las mujeres gestantes se realizará mínimo dos veces durante el embarazo (idealmente en el primer y segundo trimestre) y en aquellas en las cuales se identifiquen necesidades de atención resolutiva se realizan las derivaciones para la ruta específica para la atención de las alteraciones de la salud bucal.</a:t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Nutrición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educación sobre  de 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recibir una alimentación equilibrada que proporcione los nutrientes adecuados para favorecer el crecimiento y desarrollo del niño(a), la calidad de la placenta, mantener el nivel de energía a lo largo del embarazo, parto y post parto, prevenir anemias y activar la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producción de la leche.</a:t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Trabajo social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 </a:t>
          </a:r>
          <a:endParaRPr b="1" sz="1100"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Si se registra en la historia</a:t>
          </a: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valoración y acompañamiento por trabajo social en gestante adolescente y mujer que se identifique riesgo psicosocial </a:t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i="0" sz="1100" u="none" strike="noStrike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Psicología</a:t>
          </a:r>
          <a:r>
            <a:rPr b="1" i="0" lang="en-US" sz="1100" u="none" strike="noStrik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endParaRPr b="1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CUMPLE: Si se registra en la historia</a:t>
          </a: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Clínica la valoración y acompañamiento por psicología en gestante adolescente, y mujer que se identifique riesgo </a:t>
          </a:r>
          <a:endParaRPr sz="1400"/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psicosocial .</a:t>
          </a:r>
          <a:endParaRPr b="0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SzPts val="1100"/>
            <a:buFont typeface="Arial"/>
            <a:buNone/>
          </a:pPr>
          <a:r>
            <a:t/>
          </a:r>
          <a:endParaRPr b="1" i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marR="0" rtl="0" algn="l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b="1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Vacunación</a:t>
          </a:r>
          <a:endParaRPr b="1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CUMPLE</a:t>
          </a: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si se registra en la historia clínica el esquema de vacunación vigente para gestantes el cual incluye:</a:t>
          </a:r>
          <a:endParaRPr b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Toxoide tetánico diftérico del adulto (Td) según antecedente vacunal.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-Influenza estacional a partir de la semana 14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0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-Tétanos, difteria y Tosferina acelular (Tdap) a partir de la semana 26 de gestación.</a:t>
          </a:r>
          <a:endParaRPr sz="1400"/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1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NO CUMPLE:</a:t>
          </a: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Si falta uno o varios de los ítems evaluados</a:t>
          </a:r>
          <a:endParaRPr b="1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b="0"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dk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7</xdr:col>
      <xdr:colOff>76200</xdr:colOff>
      <xdr:row>0</xdr:row>
      <xdr:rowOff>209550</xdr:rowOff>
    </xdr:from>
    <xdr:ext cx="828675" cy="1038225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oleObject" Target="../embeddings/oleObject1.bin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1">
    <pageSetUpPr/>
  </sheetPr>
  <sheetViews>
    <sheetView workbookViewId="0"/>
  </sheetViews>
  <sheetFormatPr customHeight="1" defaultColWidth="14.43" defaultRowHeight="15.0"/>
  <cols>
    <col customWidth="1" min="1" max="1" width="20.71"/>
    <col customWidth="1" min="2" max="2" width="50.71"/>
    <col customWidth="1" min="3" max="4" width="13.71"/>
    <col customWidth="1" min="5" max="8" width="15.71"/>
    <col customWidth="1" hidden="1" min="9" max="9" width="11.43"/>
    <col customWidth="1" min="10" max="26" width="11.43"/>
  </cols>
  <sheetData>
    <row r="1" ht="39.75" customHeight="1">
      <c r="A1" s="1"/>
      <c r="B1" s="2" t="s">
        <v>0</v>
      </c>
      <c r="C1" s="3"/>
      <c r="D1" s="3"/>
      <c r="E1" s="4"/>
      <c r="F1" s="5" t="s">
        <v>1</v>
      </c>
      <c r="G1" s="4"/>
      <c r="H1" s="1"/>
      <c r="I1" s="6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39.75" customHeight="1">
      <c r="A2" s="8"/>
      <c r="B2" s="9"/>
      <c r="E2" s="10"/>
      <c r="F2" s="9"/>
      <c r="G2" s="10"/>
      <c r="H2" s="8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</row>
    <row r="3" ht="23.25" customHeight="1">
      <c r="A3" s="11"/>
      <c r="B3" s="12"/>
      <c r="C3" s="13"/>
      <c r="D3" s="13"/>
      <c r="E3" s="14"/>
      <c r="F3" s="12"/>
      <c r="G3" s="14"/>
      <c r="H3" s="11"/>
      <c r="I3" s="6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>
      <c r="A4" s="15" t="s">
        <v>2</v>
      </c>
      <c r="B4" s="16"/>
      <c r="C4" s="13"/>
      <c r="D4" s="13"/>
      <c r="E4" s="13"/>
      <c r="F4" s="13"/>
      <c r="G4" s="13"/>
      <c r="H4" s="14"/>
      <c r="I4" s="6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>
      <c r="A5" s="17" t="s">
        <v>3</v>
      </c>
      <c r="B5" s="18"/>
      <c r="C5" s="19"/>
      <c r="D5" s="19"/>
      <c r="E5" s="19"/>
      <c r="F5" s="19"/>
      <c r="G5" s="19"/>
      <c r="H5" s="20"/>
      <c r="I5" s="6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>
      <c r="A6" s="17" t="s">
        <v>4</v>
      </c>
      <c r="B6" s="18"/>
      <c r="C6" s="19"/>
      <c r="D6" s="19"/>
      <c r="E6" s="19"/>
      <c r="F6" s="19"/>
      <c r="G6" s="19"/>
      <c r="H6" s="20"/>
      <c r="I6" s="6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>
      <c r="A7" s="17" t="s">
        <v>5</v>
      </c>
      <c r="B7" s="21"/>
      <c r="C7" s="19"/>
      <c r="D7" s="19"/>
      <c r="E7" s="19"/>
      <c r="F7" s="19"/>
      <c r="G7" s="19"/>
      <c r="H7" s="20"/>
      <c r="I7" s="6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>
      <c r="A8" s="22"/>
      <c r="B8" s="23"/>
      <c r="C8" s="23"/>
      <c r="D8" s="23"/>
      <c r="E8" s="23"/>
      <c r="F8" s="23"/>
      <c r="G8" s="23"/>
      <c r="H8" s="23"/>
      <c r="I8" s="6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>
      <c r="A9" s="24" t="s">
        <v>6</v>
      </c>
      <c r="B9" s="25"/>
      <c r="C9" s="26" t="s">
        <v>7</v>
      </c>
      <c r="D9" s="25"/>
      <c r="E9" s="27" t="s">
        <v>8</v>
      </c>
      <c r="F9" s="27" t="s">
        <v>9</v>
      </c>
      <c r="G9" s="28" t="s">
        <v>10</v>
      </c>
      <c r="H9" s="27" t="s">
        <v>11</v>
      </c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 ht="19.5" customHeight="1">
      <c r="A10" s="29" t="s">
        <v>12</v>
      </c>
      <c r="B10" s="30" t="s">
        <v>13</v>
      </c>
      <c r="C10" s="31" t="s">
        <v>14</v>
      </c>
      <c r="D10" s="32">
        <f t="shared" ref="D10:D16" si="1">IF(C10="NO CUMPLE",0,1)</f>
        <v>1</v>
      </c>
      <c r="E10" s="33">
        <v>7.0</v>
      </c>
      <c r="F10" s="34" t="str">
        <f>IF(C17=7,"CUMPLE",IF(C17="N/A",7,"NO CUMPLE"))</f>
        <v>CUMPLE</v>
      </c>
      <c r="G10" s="33">
        <f>IF(F10 = "CUMPLE",E10,IF(F10="N/A",E10,0))</f>
        <v>7</v>
      </c>
      <c r="H10" s="35"/>
      <c r="I10" s="36" t="s">
        <v>14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 ht="19.5" customHeight="1">
      <c r="A11" s="37"/>
      <c r="B11" s="30" t="s">
        <v>15</v>
      </c>
      <c r="C11" s="38" t="s">
        <v>14</v>
      </c>
      <c r="D11" s="38">
        <f t="shared" si="1"/>
        <v>1</v>
      </c>
      <c r="E11" s="8"/>
      <c r="F11" s="8"/>
      <c r="G11" s="8"/>
      <c r="H11" s="39"/>
      <c r="I11" s="36" t="s">
        <v>16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 ht="19.5" customHeight="1">
      <c r="A12" s="37"/>
      <c r="B12" s="30" t="s">
        <v>17</v>
      </c>
      <c r="C12" s="40" t="s">
        <v>14</v>
      </c>
      <c r="D12" s="38">
        <f t="shared" si="1"/>
        <v>1</v>
      </c>
      <c r="E12" s="8"/>
      <c r="F12" s="8"/>
      <c r="G12" s="8"/>
      <c r="H12" s="39"/>
      <c r="I12" s="36" t="s">
        <v>18</v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ht="19.5" customHeight="1">
      <c r="A13" s="37"/>
      <c r="B13" s="30" t="s">
        <v>19</v>
      </c>
      <c r="C13" s="40" t="s">
        <v>14</v>
      </c>
      <c r="D13" s="38">
        <f t="shared" si="1"/>
        <v>1</v>
      </c>
      <c r="E13" s="8"/>
      <c r="F13" s="8"/>
      <c r="G13" s="8"/>
      <c r="H13" s="39"/>
      <c r="I13" s="36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9.5" customHeight="1">
      <c r="A14" s="37"/>
      <c r="B14" s="30" t="s">
        <v>20</v>
      </c>
      <c r="C14" s="38" t="s">
        <v>14</v>
      </c>
      <c r="D14" s="38">
        <f t="shared" si="1"/>
        <v>1</v>
      </c>
      <c r="E14" s="8"/>
      <c r="F14" s="8"/>
      <c r="G14" s="8"/>
      <c r="H14" s="39"/>
      <c r="I14" s="36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ht="19.5" customHeight="1">
      <c r="A15" s="37"/>
      <c r="B15" s="30" t="s">
        <v>21</v>
      </c>
      <c r="C15" s="40" t="s">
        <v>14</v>
      </c>
      <c r="D15" s="38">
        <f t="shared" si="1"/>
        <v>1</v>
      </c>
      <c r="E15" s="8"/>
      <c r="F15" s="8"/>
      <c r="G15" s="8"/>
      <c r="H15" s="39"/>
      <c r="I15" s="41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ht="33.75" customHeight="1">
      <c r="A16" s="42"/>
      <c r="B16" s="43" t="s">
        <v>22</v>
      </c>
      <c r="C16" s="44" t="s">
        <v>14</v>
      </c>
      <c r="D16" s="45">
        <f t="shared" si="1"/>
        <v>1</v>
      </c>
      <c r="E16" s="46"/>
      <c r="F16" s="46"/>
      <c r="G16" s="46"/>
      <c r="H16" s="47"/>
      <c r="I16" s="4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 ht="19.5" customHeight="1">
      <c r="A17" s="48" t="s">
        <v>23</v>
      </c>
      <c r="B17" s="49"/>
      <c r="C17" s="50">
        <f>SUM(D10:D16)</f>
        <v>7</v>
      </c>
      <c r="D17" s="51"/>
      <c r="E17" s="52">
        <f>+E10</f>
        <v>7</v>
      </c>
      <c r="F17" s="53"/>
      <c r="G17" s="53">
        <f>G10</f>
        <v>7</v>
      </c>
      <c r="H17" s="54">
        <f>G17/E17</f>
        <v>1</v>
      </c>
      <c r="I17" s="6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 ht="30.75" customHeight="1">
      <c r="A18" s="29" t="s">
        <v>24</v>
      </c>
      <c r="B18" s="55" t="s">
        <v>25</v>
      </c>
      <c r="C18" s="56" t="s">
        <v>14</v>
      </c>
      <c r="D18" s="57">
        <f t="shared" ref="D18:D20" si="2">IF(C18="NO CUMPLE",0,1)</f>
        <v>1</v>
      </c>
      <c r="E18" s="58">
        <v>5.0</v>
      </c>
      <c r="F18" s="58" t="str">
        <f>IF(C21=3,"CUMPLE",IF(C21="N/A",3,"NO CUMPLE"))</f>
        <v>CUMPLE</v>
      </c>
      <c r="G18" s="58">
        <f>IF(F18 = "CUMPLE",E18,IF(F18="N/A",E18,0))</f>
        <v>5</v>
      </c>
      <c r="H18" s="59"/>
      <c r="I18" s="6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30.75" customHeight="1">
      <c r="A19" s="37"/>
      <c r="B19" s="30" t="s">
        <v>26</v>
      </c>
      <c r="C19" s="60" t="s">
        <v>14</v>
      </c>
      <c r="D19" s="61">
        <f t="shared" si="2"/>
        <v>1</v>
      </c>
      <c r="E19" s="8"/>
      <c r="F19" s="8"/>
      <c r="G19" s="8"/>
      <c r="H19" s="39"/>
      <c r="I19" s="6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 ht="30.75" customHeight="1">
      <c r="A20" s="62"/>
      <c r="B20" s="30" t="s">
        <v>27</v>
      </c>
      <c r="C20" s="60" t="s">
        <v>14</v>
      </c>
      <c r="D20" s="61">
        <f t="shared" si="2"/>
        <v>1</v>
      </c>
      <c r="E20" s="11"/>
      <c r="F20" s="11"/>
      <c r="G20" s="11"/>
      <c r="H20" s="63"/>
      <c r="I20" s="6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9.5" customHeight="1">
      <c r="A21" s="64"/>
      <c r="B21" s="65" t="s">
        <v>28</v>
      </c>
      <c r="C21" s="50">
        <f>SUM(D18:D20)</f>
        <v>3</v>
      </c>
      <c r="D21" s="66"/>
      <c r="E21" s="50">
        <f>+E18</f>
        <v>5</v>
      </c>
      <c r="F21" s="50"/>
      <c r="G21" s="50">
        <f>+G18</f>
        <v>5</v>
      </c>
      <c r="H21" s="54">
        <f>G21/E21</f>
        <v>1</v>
      </c>
      <c r="I21" s="6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50.25" customHeight="1">
      <c r="A22" s="29" t="s">
        <v>29</v>
      </c>
      <c r="B22" s="55" t="s">
        <v>30</v>
      </c>
      <c r="C22" s="32" t="s">
        <v>14</v>
      </c>
      <c r="D22" s="32">
        <f t="shared" ref="D22:D27" si="3">IF(C22="NO CUMPLE",0,1)</f>
        <v>1</v>
      </c>
      <c r="E22" s="33">
        <v>7.0</v>
      </c>
      <c r="F22" s="34" t="str">
        <f>IF(C28=6,"CUMPLE",IF(C28="N/A",6,"NO CUMPLE"))</f>
        <v>CUMPLE</v>
      </c>
      <c r="G22" s="33">
        <f>IF(F22 = "CUMPLE",E22,IF(F22="N/A",E22,0))</f>
        <v>7</v>
      </c>
      <c r="H22" s="67"/>
      <c r="I22" s="6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9.5" customHeight="1">
      <c r="A23" s="37"/>
      <c r="B23" s="30" t="s">
        <v>31</v>
      </c>
      <c r="C23" s="38" t="s">
        <v>14</v>
      </c>
      <c r="D23" s="38">
        <f t="shared" si="3"/>
        <v>1</v>
      </c>
      <c r="E23" s="8"/>
      <c r="F23" s="8"/>
      <c r="G23" s="8"/>
      <c r="H23" s="39"/>
      <c r="I23" s="6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9.5" customHeight="1">
      <c r="A24" s="37"/>
      <c r="B24" s="68" t="s">
        <v>32</v>
      </c>
      <c r="C24" s="40" t="s">
        <v>14</v>
      </c>
      <c r="D24" s="38">
        <f t="shared" si="3"/>
        <v>1</v>
      </c>
      <c r="E24" s="8"/>
      <c r="F24" s="8"/>
      <c r="G24" s="8"/>
      <c r="H24" s="39"/>
      <c r="I24" s="6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9.5" customHeight="1">
      <c r="A25" s="37"/>
      <c r="B25" s="69" t="s">
        <v>33</v>
      </c>
      <c r="C25" s="40" t="s">
        <v>14</v>
      </c>
      <c r="D25" s="38">
        <f t="shared" si="3"/>
        <v>1</v>
      </c>
      <c r="E25" s="8"/>
      <c r="F25" s="8"/>
      <c r="G25" s="8"/>
      <c r="H25" s="39"/>
      <c r="I25" s="6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9.5" customHeight="1">
      <c r="A26" s="37"/>
      <c r="B26" s="7" t="s">
        <v>34</v>
      </c>
      <c r="C26" s="40" t="s">
        <v>14</v>
      </c>
      <c r="D26" s="38">
        <f t="shared" si="3"/>
        <v>1</v>
      </c>
      <c r="E26" s="8"/>
      <c r="F26" s="8"/>
      <c r="G26" s="8"/>
      <c r="H26" s="39"/>
      <c r="I26" s="6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9.5" customHeight="1">
      <c r="A27" s="42"/>
      <c r="B27" s="70" t="s">
        <v>35</v>
      </c>
      <c r="C27" s="45" t="s">
        <v>14</v>
      </c>
      <c r="D27" s="45">
        <f t="shared" si="3"/>
        <v>1</v>
      </c>
      <c r="E27" s="46"/>
      <c r="F27" s="46"/>
      <c r="G27" s="46"/>
      <c r="H27" s="47"/>
      <c r="I27" s="6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9.5" customHeight="1">
      <c r="A28" s="48" t="s">
        <v>36</v>
      </c>
      <c r="B28" s="49"/>
      <c r="C28" s="71">
        <f>SUM(D22:D27)</f>
        <v>6</v>
      </c>
      <c r="D28" s="71"/>
      <c r="E28" s="53">
        <f>+E22</f>
        <v>7</v>
      </c>
      <c r="F28" s="53"/>
      <c r="G28" s="53">
        <f>G22</f>
        <v>7</v>
      </c>
      <c r="H28" s="54">
        <f>G28/E28</f>
        <v>1</v>
      </c>
      <c r="I28" s="6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9.5" customHeight="1">
      <c r="A29" s="29" t="s">
        <v>37</v>
      </c>
      <c r="B29" s="72" t="s">
        <v>38</v>
      </c>
      <c r="C29" s="40" t="s">
        <v>14</v>
      </c>
      <c r="D29" s="32">
        <f t="shared" ref="D29:D35" si="4">IF(C29="NO CUMPLE",0,1)</f>
        <v>1</v>
      </c>
      <c r="E29" s="33">
        <v>8.0</v>
      </c>
      <c r="F29" s="34" t="str">
        <f>IF(C36=7,"CUMPLE",IF(C36="N/A",7,"NO CUMPLE"))</f>
        <v>CUMPLE</v>
      </c>
      <c r="G29" s="34">
        <f>IF(F29 = "CUMPLE",E29,IF(F29="N/A",E29,0))</f>
        <v>8</v>
      </c>
      <c r="H29" s="67"/>
      <c r="I29" s="6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9.5" customHeight="1">
      <c r="A30" s="37"/>
      <c r="B30" s="73" t="s">
        <v>39</v>
      </c>
      <c r="C30" s="38" t="s">
        <v>14</v>
      </c>
      <c r="D30" s="38">
        <f t="shared" si="4"/>
        <v>1</v>
      </c>
      <c r="E30" s="8"/>
      <c r="F30" s="8"/>
      <c r="G30" s="8"/>
      <c r="H30" s="39"/>
      <c r="I30" s="6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9.5" customHeight="1">
      <c r="A31" s="37"/>
      <c r="B31" s="73" t="s">
        <v>40</v>
      </c>
      <c r="C31" s="38" t="s">
        <v>14</v>
      </c>
      <c r="D31" s="38">
        <f t="shared" si="4"/>
        <v>1</v>
      </c>
      <c r="E31" s="8"/>
      <c r="F31" s="8"/>
      <c r="G31" s="8"/>
      <c r="H31" s="39"/>
      <c r="I31" s="6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9.5" customHeight="1">
      <c r="A32" s="37"/>
      <c r="B32" s="73" t="s">
        <v>41</v>
      </c>
      <c r="C32" s="38" t="s">
        <v>14</v>
      </c>
      <c r="D32" s="38">
        <f t="shared" si="4"/>
        <v>1</v>
      </c>
      <c r="E32" s="8"/>
      <c r="F32" s="8"/>
      <c r="G32" s="8"/>
      <c r="H32" s="39"/>
      <c r="I32" s="6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9.5" customHeight="1">
      <c r="A33" s="37"/>
      <c r="B33" s="73" t="s">
        <v>42</v>
      </c>
      <c r="C33" s="38" t="s">
        <v>14</v>
      </c>
      <c r="D33" s="38">
        <f t="shared" si="4"/>
        <v>1</v>
      </c>
      <c r="E33" s="8"/>
      <c r="F33" s="8"/>
      <c r="G33" s="8"/>
      <c r="H33" s="39"/>
      <c r="I33" s="6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9.5" customHeight="1">
      <c r="A34" s="37"/>
      <c r="B34" s="73" t="s">
        <v>43</v>
      </c>
      <c r="C34" s="38" t="s">
        <v>14</v>
      </c>
      <c r="D34" s="38">
        <f t="shared" si="4"/>
        <v>1</v>
      </c>
      <c r="E34" s="8"/>
      <c r="F34" s="8"/>
      <c r="G34" s="8"/>
      <c r="H34" s="39"/>
      <c r="I34" s="6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9.5" customHeight="1">
      <c r="A35" s="42"/>
      <c r="B35" s="74" t="s">
        <v>44</v>
      </c>
      <c r="C35" s="38" t="s">
        <v>14</v>
      </c>
      <c r="D35" s="45">
        <f t="shared" si="4"/>
        <v>1</v>
      </c>
      <c r="E35" s="46"/>
      <c r="F35" s="46"/>
      <c r="G35" s="46"/>
      <c r="H35" s="47"/>
      <c r="I35" s="6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9.5" customHeight="1">
      <c r="A36" s="48" t="s">
        <v>45</v>
      </c>
      <c r="B36" s="49"/>
      <c r="C36" s="71">
        <f>SUM(D29:D35)</f>
        <v>7</v>
      </c>
      <c r="D36" s="71"/>
      <c r="E36" s="53">
        <f>+E29</f>
        <v>8</v>
      </c>
      <c r="F36" s="53"/>
      <c r="G36" s="75">
        <f>G29</f>
        <v>8</v>
      </c>
      <c r="H36" s="54">
        <f>G36/E36</f>
        <v>1</v>
      </c>
      <c r="I36" s="6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9.5" customHeight="1">
      <c r="A37" s="29" t="s">
        <v>46</v>
      </c>
      <c r="B37" s="76" t="s">
        <v>47</v>
      </c>
      <c r="C37" s="38" t="s">
        <v>14</v>
      </c>
      <c r="D37" s="32">
        <f t="shared" ref="D37:D48" si="5">IF(C37="NO CUMPLE",0,1)</f>
        <v>1</v>
      </c>
      <c r="E37" s="33">
        <v>15.0</v>
      </c>
      <c r="F37" s="34" t="str">
        <f>IF(C49=12,"CUMPLE",IF(C49="N/A",12,"NO CUMPLE"))</f>
        <v>CUMPLE</v>
      </c>
      <c r="G37" s="34">
        <f>IF(F37 = "CUMPLE",E37,IF(F37="N/A",E37,0))</f>
        <v>15</v>
      </c>
      <c r="H37" s="67"/>
      <c r="I37" s="6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9.5" customHeight="1">
      <c r="A38" s="37"/>
      <c r="B38" s="77" t="s">
        <v>48</v>
      </c>
      <c r="C38" s="38" t="s">
        <v>14</v>
      </c>
      <c r="D38" s="38">
        <f t="shared" si="5"/>
        <v>1</v>
      </c>
      <c r="E38" s="8"/>
      <c r="F38" s="8"/>
      <c r="G38" s="8"/>
      <c r="H38" s="39"/>
      <c r="I38" s="6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9.5" customHeight="1">
      <c r="A39" s="37"/>
      <c r="B39" s="77" t="s">
        <v>49</v>
      </c>
      <c r="C39" s="40" t="s">
        <v>14</v>
      </c>
      <c r="D39" s="38">
        <f t="shared" si="5"/>
        <v>1</v>
      </c>
      <c r="E39" s="8"/>
      <c r="F39" s="8"/>
      <c r="G39" s="8"/>
      <c r="H39" s="39"/>
      <c r="I39" s="6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9.5" customHeight="1">
      <c r="A40" s="37"/>
      <c r="B40" s="77" t="s">
        <v>50</v>
      </c>
      <c r="C40" s="40" t="s">
        <v>14</v>
      </c>
      <c r="D40" s="38">
        <f t="shared" si="5"/>
        <v>1</v>
      </c>
      <c r="E40" s="8"/>
      <c r="F40" s="8"/>
      <c r="G40" s="8"/>
      <c r="H40" s="39"/>
      <c r="I40" s="6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9.5" customHeight="1">
      <c r="A41" s="37"/>
      <c r="B41" s="77" t="s">
        <v>51</v>
      </c>
      <c r="C41" s="40" t="s">
        <v>14</v>
      </c>
      <c r="D41" s="38">
        <f t="shared" si="5"/>
        <v>1</v>
      </c>
      <c r="E41" s="8"/>
      <c r="F41" s="8"/>
      <c r="G41" s="8"/>
      <c r="H41" s="39"/>
      <c r="I41" s="6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9.5" customHeight="1">
      <c r="A42" s="37"/>
      <c r="B42" s="77" t="s">
        <v>43</v>
      </c>
      <c r="C42" s="38" t="s">
        <v>14</v>
      </c>
      <c r="D42" s="38">
        <f t="shared" si="5"/>
        <v>1</v>
      </c>
      <c r="E42" s="8"/>
      <c r="F42" s="8"/>
      <c r="G42" s="8"/>
      <c r="H42" s="39"/>
      <c r="I42" s="6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9.5" customHeight="1">
      <c r="A43" s="37"/>
      <c r="B43" s="77" t="s">
        <v>52</v>
      </c>
      <c r="C43" s="38" t="s">
        <v>14</v>
      </c>
      <c r="D43" s="38">
        <f t="shared" si="5"/>
        <v>1</v>
      </c>
      <c r="E43" s="8"/>
      <c r="F43" s="8"/>
      <c r="G43" s="8"/>
      <c r="H43" s="39"/>
      <c r="I43" s="6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9.5" customHeight="1">
      <c r="A44" s="37"/>
      <c r="B44" s="77" t="s">
        <v>53</v>
      </c>
      <c r="C44" s="38" t="s">
        <v>14</v>
      </c>
      <c r="D44" s="38">
        <f t="shared" si="5"/>
        <v>1</v>
      </c>
      <c r="E44" s="8"/>
      <c r="F44" s="8"/>
      <c r="G44" s="8"/>
      <c r="H44" s="39"/>
      <c r="I44" s="6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9.5" customHeight="1">
      <c r="A45" s="37"/>
      <c r="B45" s="77" t="s">
        <v>54</v>
      </c>
      <c r="C45" s="38" t="s">
        <v>14</v>
      </c>
      <c r="D45" s="38">
        <f t="shared" si="5"/>
        <v>1</v>
      </c>
      <c r="E45" s="8"/>
      <c r="F45" s="8"/>
      <c r="G45" s="8"/>
      <c r="H45" s="39"/>
      <c r="I45" s="6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9.5" customHeight="1">
      <c r="A46" s="37"/>
      <c r="B46" s="77" t="s">
        <v>55</v>
      </c>
      <c r="C46" s="38" t="s">
        <v>14</v>
      </c>
      <c r="D46" s="38">
        <f t="shared" si="5"/>
        <v>1</v>
      </c>
      <c r="E46" s="8"/>
      <c r="F46" s="8"/>
      <c r="G46" s="8"/>
      <c r="H46" s="39"/>
      <c r="I46" s="6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9.5" customHeight="1">
      <c r="A47" s="37"/>
      <c r="B47" s="77" t="s">
        <v>56</v>
      </c>
      <c r="C47" s="38" t="s">
        <v>14</v>
      </c>
      <c r="D47" s="38">
        <f t="shared" si="5"/>
        <v>1</v>
      </c>
      <c r="E47" s="8"/>
      <c r="F47" s="8"/>
      <c r="G47" s="8"/>
      <c r="H47" s="39"/>
      <c r="I47" s="6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9.5" customHeight="1">
      <c r="A48" s="42"/>
      <c r="B48" s="78" t="s">
        <v>57</v>
      </c>
      <c r="C48" s="79" t="s">
        <v>14</v>
      </c>
      <c r="D48" s="45">
        <f t="shared" si="5"/>
        <v>1</v>
      </c>
      <c r="E48" s="46"/>
      <c r="F48" s="46"/>
      <c r="G48" s="46"/>
      <c r="H48" s="47"/>
      <c r="I48" s="6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9.5" customHeight="1">
      <c r="A49" s="48" t="s">
        <v>58</v>
      </c>
      <c r="B49" s="80"/>
      <c r="C49" s="71">
        <f>SUM(D37:D48)</f>
        <v>12</v>
      </c>
      <c r="D49" s="71"/>
      <c r="E49" s="53">
        <f>E37</f>
        <v>15</v>
      </c>
      <c r="F49" s="53"/>
      <c r="G49" s="75">
        <f>G37</f>
        <v>15</v>
      </c>
      <c r="H49" s="54">
        <f>G49/E49</f>
        <v>1</v>
      </c>
      <c r="I49" s="6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9.5" customHeight="1">
      <c r="A50" s="29" t="s">
        <v>59</v>
      </c>
      <c r="B50" s="55" t="s">
        <v>60</v>
      </c>
      <c r="C50" s="38" t="s">
        <v>14</v>
      </c>
      <c r="D50" s="32">
        <f t="shared" ref="D50:D51" si="6">IF(C50="NO CUMPLE",0,1)</f>
        <v>1</v>
      </c>
      <c r="E50" s="33">
        <v>5.0</v>
      </c>
      <c r="F50" s="34" t="str">
        <f>IF(C52=2,"CUMPLE",IF(C52="N/A",2,"NO CUMPLE"))</f>
        <v>CUMPLE</v>
      </c>
      <c r="G50" s="34">
        <f>IF(F50 = "CUMPLE",E50,IF(F50="NO APLICA",E50,0))</f>
        <v>5</v>
      </c>
      <c r="H50" s="67"/>
      <c r="I50" s="6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9.5" customHeight="1">
      <c r="A51" s="42"/>
      <c r="B51" s="70" t="s">
        <v>61</v>
      </c>
      <c r="C51" s="38" t="s">
        <v>14</v>
      </c>
      <c r="D51" s="45">
        <f t="shared" si="6"/>
        <v>1</v>
      </c>
      <c r="E51" s="46"/>
      <c r="F51" s="46"/>
      <c r="G51" s="46"/>
      <c r="H51" s="47"/>
      <c r="I51" s="6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9.5" customHeight="1">
      <c r="A52" s="48" t="s">
        <v>62</v>
      </c>
      <c r="B52" s="49"/>
      <c r="C52" s="71">
        <f>SUM(D50:D51)</f>
        <v>2</v>
      </c>
      <c r="D52" s="71"/>
      <c r="E52" s="53">
        <f>E50</f>
        <v>5</v>
      </c>
      <c r="F52" s="53"/>
      <c r="G52" s="75">
        <f>G50</f>
        <v>5</v>
      </c>
      <c r="H52" s="54">
        <f>G52/E52</f>
        <v>1</v>
      </c>
      <c r="I52" s="6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9.5" customHeight="1">
      <c r="A53" s="29" t="s">
        <v>63</v>
      </c>
      <c r="B53" s="55" t="s">
        <v>64</v>
      </c>
      <c r="C53" s="38" t="s">
        <v>14</v>
      </c>
      <c r="D53" s="32">
        <f t="shared" ref="D53:D57" si="7">IF(C53="NO CUMPLE",0,1)</f>
        <v>1</v>
      </c>
      <c r="E53" s="33">
        <v>15.0</v>
      </c>
      <c r="F53" s="81" t="str">
        <f>IF(C58=5,"CUMPLE",IF(C58="N/A",5,"NO CUMPLE"))</f>
        <v>CUMPLE</v>
      </c>
      <c r="G53" s="34">
        <f>IF(F53 = "CUMPLE",E53,IF(F53="NO APLICA",E53,0))</f>
        <v>15</v>
      </c>
      <c r="H53" s="82"/>
      <c r="I53" s="6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9.5" customHeight="1">
      <c r="A54" s="37"/>
      <c r="B54" s="30" t="s">
        <v>65</v>
      </c>
      <c r="C54" s="38" t="s">
        <v>14</v>
      </c>
      <c r="D54" s="38">
        <f t="shared" si="7"/>
        <v>1</v>
      </c>
      <c r="E54" s="8"/>
      <c r="F54" s="8"/>
      <c r="G54" s="8"/>
      <c r="H54" s="39"/>
      <c r="I54" s="6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9.5" customHeight="1">
      <c r="A55" s="37"/>
      <c r="B55" s="30" t="s">
        <v>66</v>
      </c>
      <c r="C55" s="38" t="s">
        <v>14</v>
      </c>
      <c r="D55" s="38">
        <f t="shared" si="7"/>
        <v>1</v>
      </c>
      <c r="E55" s="8"/>
      <c r="F55" s="8"/>
      <c r="G55" s="8"/>
      <c r="H55" s="39"/>
      <c r="I55" s="6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9.5" customHeight="1">
      <c r="A56" s="37"/>
      <c r="B56" s="30" t="s">
        <v>67</v>
      </c>
      <c r="C56" s="40" t="s">
        <v>14</v>
      </c>
      <c r="D56" s="38">
        <f t="shared" si="7"/>
        <v>1</v>
      </c>
      <c r="E56" s="8"/>
      <c r="F56" s="8"/>
      <c r="G56" s="8"/>
      <c r="H56" s="39"/>
      <c r="I56" s="6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9.5" customHeight="1">
      <c r="A57" s="42"/>
      <c r="B57" s="70" t="s">
        <v>68</v>
      </c>
      <c r="C57" s="38" t="s">
        <v>14</v>
      </c>
      <c r="D57" s="45">
        <f t="shared" si="7"/>
        <v>1</v>
      </c>
      <c r="E57" s="46"/>
      <c r="F57" s="46"/>
      <c r="G57" s="46"/>
      <c r="H57" s="47"/>
      <c r="I57" s="6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9.5" customHeight="1">
      <c r="A58" s="48" t="s">
        <v>69</v>
      </c>
      <c r="B58" s="49"/>
      <c r="C58" s="71">
        <f>SUM(D53:D57)</f>
        <v>5</v>
      </c>
      <c r="D58" s="71"/>
      <c r="E58" s="53">
        <f>+E53</f>
        <v>15</v>
      </c>
      <c r="F58" s="53"/>
      <c r="G58" s="75">
        <f>G53</f>
        <v>15</v>
      </c>
      <c r="H58" s="54">
        <f>G58/E58</f>
        <v>1</v>
      </c>
      <c r="I58" s="6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9.5" customHeight="1">
      <c r="A59" s="29" t="s">
        <v>70</v>
      </c>
      <c r="B59" s="55" t="s">
        <v>71</v>
      </c>
      <c r="C59" s="32" t="s">
        <v>14</v>
      </c>
      <c r="D59" s="32">
        <f t="shared" ref="D59:D61" si="8">IF(C59="NO CUMPLE",0,1)</f>
        <v>1</v>
      </c>
      <c r="E59" s="33">
        <v>15.0</v>
      </c>
      <c r="F59" s="81" t="str">
        <f>IF(C62=3,"CUMPLE",IF(C62="N/A",3,"NO CUMPLE"))</f>
        <v>CUMPLE</v>
      </c>
      <c r="G59" s="34">
        <f>IF(F59 = "CUMPLE",E59,IF(F59="NO APLICA",E59,0))</f>
        <v>15</v>
      </c>
      <c r="H59" s="82"/>
      <c r="I59" s="6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9.5" customHeight="1">
      <c r="A60" s="37"/>
      <c r="B60" s="30" t="s">
        <v>72</v>
      </c>
      <c r="C60" s="38" t="s">
        <v>14</v>
      </c>
      <c r="D60" s="38">
        <f t="shared" si="8"/>
        <v>1</v>
      </c>
      <c r="E60" s="8"/>
      <c r="F60" s="8"/>
      <c r="G60" s="8"/>
      <c r="H60" s="39"/>
      <c r="I60" s="6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9.5" customHeight="1">
      <c r="A61" s="42"/>
      <c r="B61" s="70" t="s">
        <v>73</v>
      </c>
      <c r="C61" s="45" t="s">
        <v>14</v>
      </c>
      <c r="D61" s="45">
        <f t="shared" si="8"/>
        <v>1</v>
      </c>
      <c r="E61" s="46"/>
      <c r="F61" s="46"/>
      <c r="G61" s="46"/>
      <c r="H61" s="47"/>
      <c r="I61" s="6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9.5" customHeight="1">
      <c r="A62" s="48" t="s">
        <v>74</v>
      </c>
      <c r="B62" s="49"/>
      <c r="C62" s="71">
        <f>+SUM(D59:D61)</f>
        <v>3</v>
      </c>
      <c r="D62" s="71"/>
      <c r="E62" s="53">
        <f>E59</f>
        <v>15</v>
      </c>
      <c r="F62" s="53"/>
      <c r="G62" s="75">
        <f>G59</f>
        <v>15</v>
      </c>
      <c r="H62" s="54">
        <f>G62/E62</f>
        <v>1</v>
      </c>
      <c r="I62" s="6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9.5" customHeight="1">
      <c r="A63" s="29" t="s">
        <v>75</v>
      </c>
      <c r="B63" s="55" t="s">
        <v>76</v>
      </c>
      <c r="C63" s="40" t="s">
        <v>14</v>
      </c>
      <c r="D63" s="32">
        <f t="shared" ref="D63:D67" si="9">IF(C63="NO CUMPLE",0,1)</f>
        <v>1</v>
      </c>
      <c r="E63" s="33">
        <v>8.0</v>
      </c>
      <c r="F63" s="33" t="str">
        <f>IF(C68=5,"CUMPLE",IF(C68="N/A",5,"NO CUMPLE"))</f>
        <v>CUMPLE</v>
      </c>
      <c r="G63" s="33">
        <f>IF(F63 = "CUMPLE",E63,IF(F63="N/A",E63,0))</f>
        <v>8</v>
      </c>
      <c r="H63" s="35"/>
      <c r="I63" s="6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28.5" customHeight="1">
      <c r="A64" s="37"/>
      <c r="B64" s="30" t="s">
        <v>77</v>
      </c>
      <c r="C64" s="38" t="s">
        <v>14</v>
      </c>
      <c r="D64" s="38">
        <f t="shared" si="9"/>
        <v>1</v>
      </c>
      <c r="E64" s="8"/>
      <c r="F64" s="8"/>
      <c r="G64" s="8"/>
      <c r="H64" s="39"/>
      <c r="I64" s="6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9.5" customHeight="1">
      <c r="A65" s="37"/>
      <c r="B65" s="30" t="s">
        <v>78</v>
      </c>
      <c r="C65" s="38" t="s">
        <v>14</v>
      </c>
      <c r="D65" s="38">
        <f t="shared" si="9"/>
        <v>1</v>
      </c>
      <c r="E65" s="8"/>
      <c r="F65" s="8"/>
      <c r="G65" s="8"/>
      <c r="H65" s="39"/>
      <c r="I65" s="6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9.5" customHeight="1">
      <c r="A66" s="37"/>
      <c r="B66" s="30" t="s">
        <v>79</v>
      </c>
      <c r="C66" s="38" t="s">
        <v>14</v>
      </c>
      <c r="D66" s="38">
        <f t="shared" si="9"/>
        <v>1</v>
      </c>
      <c r="E66" s="8"/>
      <c r="F66" s="8"/>
      <c r="G66" s="8"/>
      <c r="H66" s="39"/>
      <c r="I66" s="6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9.5" customHeight="1">
      <c r="A67" s="42"/>
      <c r="B67" s="70" t="s">
        <v>80</v>
      </c>
      <c r="C67" s="38" t="s">
        <v>14</v>
      </c>
      <c r="D67" s="45">
        <f t="shared" si="9"/>
        <v>1</v>
      </c>
      <c r="E67" s="46"/>
      <c r="F67" s="46"/>
      <c r="G67" s="46"/>
      <c r="H67" s="47"/>
      <c r="I67" s="6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9.5" customHeight="1">
      <c r="A68" s="48" t="s">
        <v>81</v>
      </c>
      <c r="B68" s="80"/>
      <c r="C68" s="71">
        <f>SUM(D63:D67)</f>
        <v>5</v>
      </c>
      <c r="D68" s="71"/>
      <c r="E68" s="53">
        <f>E63</f>
        <v>8</v>
      </c>
      <c r="F68" s="53"/>
      <c r="G68" s="75">
        <f>G63</f>
        <v>8</v>
      </c>
      <c r="H68" s="54">
        <f>G68/E68</f>
        <v>1</v>
      </c>
      <c r="I68" s="6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9.5" customHeight="1">
      <c r="A69" s="29" t="s">
        <v>82</v>
      </c>
      <c r="B69" s="72" t="s">
        <v>83</v>
      </c>
      <c r="C69" s="38" t="s">
        <v>14</v>
      </c>
      <c r="D69" s="32">
        <f t="shared" ref="D69:D81" si="10">IF(C69="NO CUMPLE",0,1)</f>
        <v>1</v>
      </c>
      <c r="E69" s="33">
        <v>10.0</v>
      </c>
      <c r="F69" s="34" t="str">
        <f>IF(C82=13,"CUMPLE",IF(C82="N/A",13,"NO CUMPLE"))</f>
        <v>CUMPLE</v>
      </c>
      <c r="G69" s="34">
        <f>IF(F69 = "CUMPLE",E69,IF(F69="N/A",E69,0))</f>
        <v>10</v>
      </c>
      <c r="H69" s="67"/>
      <c r="I69" s="6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9.5" customHeight="1">
      <c r="A70" s="37"/>
      <c r="B70" s="73" t="s">
        <v>84</v>
      </c>
      <c r="C70" s="38" t="s">
        <v>14</v>
      </c>
      <c r="D70" s="38">
        <f t="shared" si="10"/>
        <v>1</v>
      </c>
      <c r="E70" s="8"/>
      <c r="F70" s="8"/>
      <c r="G70" s="8"/>
      <c r="H70" s="39"/>
      <c r="I70" s="6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9.5" customHeight="1">
      <c r="A71" s="37"/>
      <c r="B71" s="73" t="s">
        <v>85</v>
      </c>
      <c r="C71" s="38" t="s">
        <v>14</v>
      </c>
      <c r="D71" s="38">
        <f t="shared" si="10"/>
        <v>1</v>
      </c>
      <c r="E71" s="8"/>
      <c r="F71" s="8"/>
      <c r="G71" s="8"/>
      <c r="H71" s="39"/>
      <c r="I71" s="6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9.5" customHeight="1">
      <c r="A72" s="37"/>
      <c r="B72" s="73" t="s">
        <v>86</v>
      </c>
      <c r="C72" s="38" t="s">
        <v>14</v>
      </c>
      <c r="D72" s="38">
        <f t="shared" si="10"/>
        <v>1</v>
      </c>
      <c r="E72" s="8"/>
      <c r="F72" s="8"/>
      <c r="G72" s="8"/>
      <c r="H72" s="39"/>
      <c r="I72" s="6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9.5" customHeight="1">
      <c r="A73" s="37"/>
      <c r="B73" s="73" t="s">
        <v>87</v>
      </c>
      <c r="C73" s="38" t="s">
        <v>14</v>
      </c>
      <c r="D73" s="38">
        <f t="shared" si="10"/>
        <v>1</v>
      </c>
      <c r="E73" s="8"/>
      <c r="F73" s="8"/>
      <c r="G73" s="8"/>
      <c r="H73" s="39"/>
      <c r="I73" s="6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9.5" customHeight="1">
      <c r="A74" s="37"/>
      <c r="B74" s="73" t="s">
        <v>88</v>
      </c>
      <c r="C74" s="38" t="s">
        <v>14</v>
      </c>
      <c r="D74" s="38">
        <f t="shared" si="10"/>
        <v>1</v>
      </c>
      <c r="E74" s="8"/>
      <c r="F74" s="8"/>
      <c r="G74" s="8"/>
      <c r="H74" s="39"/>
      <c r="I74" s="6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9.5" customHeight="1">
      <c r="A75" s="37"/>
      <c r="B75" s="73" t="s">
        <v>89</v>
      </c>
      <c r="C75" s="38" t="s">
        <v>14</v>
      </c>
      <c r="D75" s="38">
        <f t="shared" si="10"/>
        <v>1</v>
      </c>
      <c r="E75" s="8"/>
      <c r="F75" s="8"/>
      <c r="G75" s="8"/>
      <c r="H75" s="39"/>
      <c r="I75" s="6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9.5" customHeight="1">
      <c r="A76" s="37"/>
      <c r="B76" s="73" t="s">
        <v>90</v>
      </c>
      <c r="C76" s="38" t="s">
        <v>14</v>
      </c>
      <c r="D76" s="38">
        <f t="shared" si="10"/>
        <v>1</v>
      </c>
      <c r="E76" s="8"/>
      <c r="F76" s="8"/>
      <c r="G76" s="8"/>
      <c r="H76" s="39"/>
      <c r="I76" s="6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9.5" customHeight="1">
      <c r="A77" s="37"/>
      <c r="B77" s="73" t="s">
        <v>91</v>
      </c>
      <c r="C77" s="38" t="s">
        <v>14</v>
      </c>
      <c r="D77" s="38">
        <f t="shared" si="10"/>
        <v>1</v>
      </c>
      <c r="E77" s="8"/>
      <c r="F77" s="8"/>
      <c r="G77" s="8"/>
      <c r="H77" s="39"/>
      <c r="I77" s="6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9.5" customHeight="1">
      <c r="A78" s="37"/>
      <c r="B78" s="73" t="s">
        <v>92</v>
      </c>
      <c r="C78" s="38" t="s">
        <v>14</v>
      </c>
      <c r="D78" s="38">
        <f t="shared" si="10"/>
        <v>1</v>
      </c>
      <c r="E78" s="8"/>
      <c r="F78" s="8"/>
      <c r="G78" s="8"/>
      <c r="H78" s="39"/>
      <c r="I78" s="6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9.5" customHeight="1">
      <c r="A79" s="37"/>
      <c r="B79" s="73" t="s">
        <v>93</v>
      </c>
      <c r="C79" s="38" t="s">
        <v>14</v>
      </c>
      <c r="D79" s="38">
        <f t="shared" si="10"/>
        <v>1</v>
      </c>
      <c r="E79" s="8"/>
      <c r="F79" s="8"/>
      <c r="G79" s="8"/>
      <c r="H79" s="39"/>
      <c r="I79" s="6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9.5" customHeight="1">
      <c r="A80" s="37"/>
      <c r="B80" s="73" t="s">
        <v>94</v>
      </c>
      <c r="C80" s="38" t="s">
        <v>14</v>
      </c>
      <c r="D80" s="38">
        <f t="shared" si="10"/>
        <v>1</v>
      </c>
      <c r="E80" s="8"/>
      <c r="F80" s="8"/>
      <c r="G80" s="8"/>
      <c r="H80" s="39"/>
      <c r="I80" s="6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9.5" customHeight="1">
      <c r="A81" s="42"/>
      <c r="B81" s="73" t="s">
        <v>95</v>
      </c>
      <c r="C81" s="38" t="s">
        <v>14</v>
      </c>
      <c r="D81" s="45">
        <f t="shared" si="10"/>
        <v>1</v>
      </c>
      <c r="E81" s="46"/>
      <c r="F81" s="46"/>
      <c r="G81" s="46"/>
      <c r="H81" s="47"/>
      <c r="I81" s="6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9.5" customHeight="1">
      <c r="A82" s="48" t="s">
        <v>96</v>
      </c>
      <c r="B82" s="80"/>
      <c r="C82" s="71">
        <f>SUM(D69:D81)</f>
        <v>13</v>
      </c>
      <c r="D82" s="71"/>
      <c r="E82" s="53">
        <f>E69</f>
        <v>10</v>
      </c>
      <c r="F82" s="53"/>
      <c r="G82" s="75">
        <f>G69</f>
        <v>10</v>
      </c>
      <c r="H82" s="54">
        <f>G82/E82</f>
        <v>1</v>
      </c>
      <c r="I82" s="6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9.5" customHeight="1">
      <c r="A83" s="83" t="s">
        <v>97</v>
      </c>
      <c r="B83" s="76" t="s">
        <v>98</v>
      </c>
      <c r="C83" s="40" t="s">
        <v>14</v>
      </c>
      <c r="D83" s="32">
        <f t="shared" ref="D83:D87" si="11">IF(C83="NO CUMPLE",0,1)</f>
        <v>1</v>
      </c>
      <c r="E83" s="33">
        <v>5.0</v>
      </c>
      <c r="F83" s="81" t="str">
        <f>IF(C88=5,"CUMPLE",IF(C88="N/A",5,"NO CUMPLE"))</f>
        <v>CUMPLE</v>
      </c>
      <c r="G83" s="34">
        <f>IF(F83 = "CUMPLE",E83,IF(F83="NO APLICA",E83,0))</f>
        <v>5</v>
      </c>
      <c r="H83" s="67"/>
      <c r="I83" s="6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9.5" customHeight="1">
      <c r="A84" s="37"/>
      <c r="B84" s="77" t="s">
        <v>99</v>
      </c>
      <c r="C84" s="38" t="s">
        <v>14</v>
      </c>
      <c r="D84" s="38">
        <f t="shared" si="11"/>
        <v>1</v>
      </c>
      <c r="E84" s="8"/>
      <c r="F84" s="8"/>
      <c r="G84" s="8"/>
      <c r="H84" s="39"/>
      <c r="I84" s="6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9.5" customHeight="1">
      <c r="A85" s="37"/>
      <c r="B85" s="77" t="s">
        <v>100</v>
      </c>
      <c r="C85" s="40" t="s">
        <v>14</v>
      </c>
      <c r="D85" s="38">
        <f t="shared" si="11"/>
        <v>1</v>
      </c>
      <c r="E85" s="8"/>
      <c r="F85" s="8"/>
      <c r="G85" s="8"/>
      <c r="H85" s="39"/>
      <c r="I85" s="6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9.5" customHeight="1">
      <c r="A86" s="37"/>
      <c r="B86" s="77" t="s">
        <v>101</v>
      </c>
      <c r="C86" s="38" t="s">
        <v>14</v>
      </c>
      <c r="D86" s="38">
        <f t="shared" si="11"/>
        <v>1</v>
      </c>
      <c r="E86" s="8"/>
      <c r="F86" s="8"/>
      <c r="G86" s="8"/>
      <c r="H86" s="39"/>
      <c r="I86" s="6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9.5" customHeight="1">
      <c r="A87" s="42"/>
      <c r="B87" s="70" t="s">
        <v>79</v>
      </c>
      <c r="C87" s="40" t="s">
        <v>14</v>
      </c>
      <c r="D87" s="45">
        <f t="shared" si="11"/>
        <v>1</v>
      </c>
      <c r="E87" s="46"/>
      <c r="F87" s="46"/>
      <c r="G87" s="46"/>
      <c r="H87" s="47"/>
      <c r="I87" s="6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6.5" customHeight="1">
      <c r="A88" s="84" t="s">
        <v>102</v>
      </c>
      <c r="B88" s="85"/>
      <c r="C88" s="86">
        <f>+SUM(D83:D87)</f>
        <v>5</v>
      </c>
      <c r="D88" s="86"/>
      <c r="E88" s="53">
        <f>+E83</f>
        <v>5</v>
      </c>
      <c r="F88" s="53">
        <v>0.0</v>
      </c>
      <c r="G88" s="75">
        <f>+G83</f>
        <v>5</v>
      </c>
      <c r="H88" s="87">
        <f t="shared" ref="H88:H89" si="12">G88/E88</f>
        <v>1</v>
      </c>
      <c r="I88" s="6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30.0" customHeight="1">
      <c r="A89" s="88" t="s">
        <v>103</v>
      </c>
      <c r="B89" s="19"/>
      <c r="C89" s="19"/>
      <c r="D89" s="20"/>
      <c r="E89" s="89">
        <f>+E88+E82+E68+E62+E58+E52+E49+E36+E28+E21+E17</f>
        <v>100</v>
      </c>
      <c r="F89" s="89"/>
      <c r="G89" s="90">
        <f>+G88+G82+G68+G62+G58+G52+G49+G36+G28+G21+G17</f>
        <v>100</v>
      </c>
      <c r="H89" s="91">
        <f t="shared" si="12"/>
        <v>1</v>
      </c>
      <c r="I89" s="6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39.75" customHeight="1">
      <c r="A90" s="92" t="s">
        <v>104</v>
      </c>
      <c r="B90" s="93" t="s">
        <v>105</v>
      </c>
      <c r="C90" s="94"/>
      <c r="D90" s="94"/>
      <c r="E90" s="94"/>
      <c r="F90" s="94"/>
      <c r="G90" s="94"/>
      <c r="H90" s="85"/>
      <c r="I90" s="6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39.75" customHeight="1">
      <c r="A91" s="95" t="s">
        <v>106</v>
      </c>
      <c r="B91" s="96" t="s">
        <v>107</v>
      </c>
      <c r="C91" s="97"/>
      <c r="D91" s="97"/>
      <c r="E91" s="97"/>
      <c r="F91" s="97"/>
      <c r="G91" s="97"/>
      <c r="H91" s="98"/>
      <c r="I91" s="6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39.75" customHeight="1">
      <c r="A92" s="99" t="s">
        <v>108</v>
      </c>
      <c r="B92" s="100" t="s">
        <v>109</v>
      </c>
      <c r="C92" s="101"/>
      <c r="D92" s="101"/>
      <c r="E92" s="101"/>
      <c r="F92" s="101"/>
      <c r="G92" s="101"/>
      <c r="H92" s="102"/>
      <c r="I92" s="103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5.75" customHeight="1">
      <c r="A93" s="104" t="s">
        <v>110</v>
      </c>
      <c r="B93" s="105"/>
      <c r="C93" s="105"/>
      <c r="D93" s="105"/>
      <c r="E93" s="105"/>
      <c r="F93" s="105"/>
      <c r="G93" s="105"/>
      <c r="H93" s="105"/>
      <c r="I93" s="6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5.75" customHeight="1">
      <c r="A94" s="106"/>
      <c r="B94" s="105"/>
      <c r="C94" s="105"/>
      <c r="D94" s="105"/>
      <c r="E94" s="105"/>
      <c r="F94" s="105"/>
      <c r="G94" s="105"/>
      <c r="H94" s="105"/>
      <c r="I94" s="6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5.75" customHeight="1">
      <c r="A95" s="106"/>
      <c r="B95" s="105"/>
      <c r="C95" s="105"/>
      <c r="D95" s="105"/>
      <c r="E95" s="105"/>
      <c r="F95" s="105"/>
      <c r="G95" s="105"/>
      <c r="H95" s="105"/>
      <c r="I95" s="6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5.75" customHeight="1">
      <c r="A96" s="106"/>
      <c r="B96" s="105"/>
      <c r="C96" s="105"/>
      <c r="D96" s="105"/>
      <c r="E96" s="105"/>
      <c r="F96" s="105"/>
      <c r="G96" s="105"/>
      <c r="H96" s="105"/>
      <c r="I96" s="6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5.75" customHeight="1">
      <c r="A97" s="107"/>
      <c r="B97" s="6"/>
      <c r="C97" s="6"/>
      <c r="D97" s="6"/>
      <c r="E97" s="6"/>
      <c r="F97" s="6"/>
      <c r="G97" s="6"/>
      <c r="H97" s="6"/>
      <c r="I97" s="6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5.75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5.75" customHeight="1">
      <c r="A99" s="7"/>
      <c r="B99" s="108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5.75" customHeight="1">
      <c r="A100" s="7"/>
      <c r="B100" s="108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5.75" customHeight="1">
      <c r="A101" s="7"/>
      <c r="B101" s="109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5.75" customHeight="1">
      <c r="A102" s="7"/>
      <c r="B102" s="110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5.75" customHeight="1">
      <c r="A103" s="7"/>
      <c r="B103" s="110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5.75" customHeight="1">
      <c r="A104" s="7"/>
      <c r="B104" s="109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5.75" customHeight="1">
      <c r="A105" s="7"/>
      <c r="B105" s="110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5.75" customHeight="1">
      <c r="A106" s="7"/>
      <c r="B106" s="110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5.75" customHeight="1">
      <c r="A107" s="7"/>
      <c r="B107" s="110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5.75" customHeight="1">
      <c r="A108" s="7"/>
      <c r="B108" s="109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5.75" customHeight="1">
      <c r="A109" s="7"/>
      <c r="B109" s="109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5.75" customHeight="1">
      <c r="A110" s="7"/>
      <c r="B110" s="110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5.75" customHeight="1">
      <c r="A111" s="7"/>
      <c r="B111" s="110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5.75" customHeight="1">
      <c r="A112" s="7"/>
      <c r="B112" s="109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5.75" customHeight="1">
      <c r="A113" s="7"/>
      <c r="B113" s="109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5.75" customHeight="1">
      <c r="A114" s="7"/>
      <c r="B114" s="110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5.75" customHeight="1">
      <c r="A115" s="7"/>
      <c r="B115" s="110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5.75" customHeight="1">
      <c r="A116" s="7"/>
      <c r="B116" s="110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5.75" customHeight="1">
      <c r="A117" s="7"/>
      <c r="B117" s="110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5.75" customHeight="1">
      <c r="A118" s="7"/>
      <c r="B118" s="110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5.75" customHeight="1">
      <c r="A119" s="7"/>
      <c r="B119" s="111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5.75" customHeight="1">
      <c r="A120" s="7"/>
      <c r="B120" s="111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5.75" customHeight="1">
      <c r="A121" s="7"/>
      <c r="B121" s="111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5.75" customHeight="1">
      <c r="A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5.75" customHeight="1">
      <c r="A123" s="7"/>
      <c r="B123" s="109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5.75" customHeight="1">
      <c r="A124" s="7"/>
      <c r="B124" s="109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5.75" customHeight="1">
      <c r="A125" s="7"/>
      <c r="B125" s="109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5.75" customHeight="1">
      <c r="A126" s="7"/>
      <c r="B126" s="110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5.75" customHeight="1">
      <c r="A127" s="7"/>
      <c r="B127" s="110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5.75" customHeight="1">
      <c r="A128" s="7"/>
      <c r="B128" s="110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5.75" customHeight="1">
      <c r="A129" s="7"/>
      <c r="B129" s="109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5.75" customHeight="1">
      <c r="A130" s="7"/>
      <c r="B130" s="110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5.75" customHeight="1">
      <c r="A131" s="7"/>
      <c r="B131" s="110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5.75" customHeight="1">
      <c r="A132" s="7"/>
      <c r="B132" s="110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5.75" customHeight="1">
      <c r="A133" s="7"/>
      <c r="B133" s="109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5.75" customHeight="1">
      <c r="A134" s="7"/>
      <c r="B134" s="110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5.75" customHeight="1">
      <c r="A135" s="7"/>
      <c r="B135" s="110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5.75" customHeight="1">
      <c r="A136" s="7"/>
      <c r="B136" s="110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5.75" customHeight="1">
      <c r="A137" s="7"/>
      <c r="B137" s="110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5.75" customHeight="1">
      <c r="A138" s="7"/>
      <c r="B138" s="110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5.75" customHeight="1">
      <c r="A139" s="7"/>
      <c r="B139" s="110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5.75" customHeight="1">
      <c r="A140" s="7"/>
      <c r="B140" s="110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5.75" customHeight="1">
      <c r="A141" s="7"/>
      <c r="B141" s="110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5.75" customHeight="1">
      <c r="A142" s="7"/>
      <c r="B142" s="110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5.75" customHeight="1">
      <c r="A143" s="7"/>
      <c r="B143" s="109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5.75" customHeight="1">
      <c r="A144" s="7"/>
      <c r="B144" s="110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5.75" customHeight="1">
      <c r="A145" s="7"/>
      <c r="B145" s="110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5.75" customHeight="1">
      <c r="A146" s="7"/>
      <c r="B146" s="110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5.75" customHeight="1">
      <c r="A147" s="7"/>
      <c r="B147" s="109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5.75" customHeight="1">
      <c r="A148" s="7"/>
      <c r="B148" s="110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5.75" customHeight="1">
      <c r="A149" s="7"/>
      <c r="B149" s="110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5.75" customHeight="1">
      <c r="A150" s="7"/>
      <c r="B150" s="110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5.75" customHeight="1">
      <c r="A151" s="7"/>
      <c r="B151" s="110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5.75" customHeight="1">
      <c r="A152" s="7"/>
      <c r="B152" s="110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5.75" customHeight="1">
      <c r="A153" s="7"/>
      <c r="B153" s="110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5.75" customHeight="1">
      <c r="A154" s="7"/>
      <c r="B154" s="110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5.75" customHeight="1">
      <c r="A155" s="7"/>
      <c r="B155" s="110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5.75" customHeight="1">
      <c r="A156" s="7"/>
      <c r="B156" s="109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5.75" customHeight="1">
      <c r="A157" s="7"/>
      <c r="B157" s="109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5.75" customHeight="1">
      <c r="A158" s="7"/>
      <c r="B158" s="109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5.75" customHeight="1">
      <c r="A159" s="7"/>
      <c r="B159" s="110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5.75" customHeight="1">
      <c r="A160" s="7"/>
      <c r="B160" s="109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5.75" customHeight="1">
      <c r="A161" s="7"/>
      <c r="B161" s="109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5.75" customHeight="1">
      <c r="A162" s="7"/>
      <c r="B162" s="110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5.75" customHeight="1">
      <c r="A163" s="7"/>
      <c r="B163" s="110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5.75" customHeight="1">
      <c r="A164" s="7"/>
      <c r="B164" s="110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5.75" customHeight="1">
      <c r="A165" s="7"/>
      <c r="B165" s="109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5.75" customHeight="1">
      <c r="A166" s="7"/>
      <c r="B166" s="109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5.75" customHeight="1">
      <c r="A167" s="7"/>
      <c r="B167" s="109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5.75" customHeight="1">
      <c r="A168" s="7"/>
      <c r="B168" s="109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5.75" customHeight="1">
      <c r="A169" s="7"/>
      <c r="B169" s="109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5.75" customHeight="1">
      <c r="A170" s="7"/>
      <c r="B170" s="112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5.75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5.75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5.75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5.75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5.75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5.75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5.75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5.75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5.75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5.75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5.75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5.75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5.75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5.75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5.75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5.75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5.75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5.75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5.75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5.75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5.75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5.75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5.75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5.75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5.75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5.75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5.75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5.75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5.75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5.75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5.75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5.75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5.75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5.75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5.75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5.75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5.75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5.75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5.75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5.75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5.75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5.75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5.75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5.75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5.75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5.75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5.75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5.75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5.75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5.75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5.75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5.75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5.75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5.75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5.75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5.75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5.75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5.75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5.75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5.75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5.75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5.75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5.75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5.75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5.75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5.75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5.75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5.75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5.75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5.75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5.75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5.75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5.75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5.75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5.75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5.75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5.75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5.75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5.75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5.75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5.75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5.75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5.75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5.75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5.75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5.75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5.75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5.75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5.75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5.75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5.75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5.75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5.75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5.75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5.75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5.75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5.75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5.75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5.75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5.75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5.75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5.75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5.75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5.75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5.75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5.75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5.75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5.75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5.75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5.75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5.75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5.75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5.75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5.75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5.75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5.75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5.75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5.75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5.75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5.75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5.75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5.75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5.75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5.75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5.75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5.75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5.75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5.75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5.75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5.75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5.75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5.75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5.75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5.75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5.75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5.75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5.75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5.75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5.75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5.75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5.75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5.75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5.75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5.75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5.75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5.75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5.75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5.75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5.75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5.75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5.75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5.75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5.75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5.75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5.75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5.75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5.75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5.75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5.75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5.75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5.75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5.75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5.75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5.75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5.75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5.75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5.75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5.75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5.75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5.75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5.75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5.75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5.75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5.75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5.75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5.75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5.75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5.75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5.75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5.75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5.75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5.75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5.75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5.75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5.75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5.75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5.75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5.75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5.75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5.75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5.75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5.75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5.75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5.75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5.75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5.75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5.75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5.75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5.75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5.75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5.75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5.75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5.75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5.75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5.75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5.75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5.75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5.75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5.75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5.75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5.75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5.75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5.75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5.75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5.75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5.75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5.75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5.75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5.75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5.75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5.75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5.75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5.75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5.75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5.75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5.75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5.75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5.75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5.75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5.75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5.75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5.75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5.75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5.75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5.75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5.75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5.75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5.75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5.75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5.75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5.75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5.75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5.75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5.75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5.75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5.75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5.75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5.75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5.75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5.75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5.75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5.75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5.75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5.75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5.75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5.75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5.75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5.75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5.75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5.75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5.75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5.75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5.75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5.75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5.75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5.75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5.75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5.75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5.75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5.75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5.75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5.75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5.75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5.75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5.75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5.75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5.75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5.75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5.75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5.75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5.75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5.75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5.75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5.75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5.75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5.75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5.75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5.75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5.75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5.75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5.75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5.75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5.75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5.75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5.75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5.75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5.75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5.75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5.75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5.75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5.75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5.75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5.75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5.75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5.75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5.75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5.75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5.75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5.75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5.75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5.75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5.75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5.75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5.75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5.75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5.75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5.75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5.75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5.75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5.75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5.75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5.75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5.75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5.75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5.75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5.75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5.75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5.75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5.75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5.75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5.75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5.75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5.75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5.75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5.75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5.75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5.75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5.75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5.75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5.75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5.75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5.75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5.75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5.75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5.75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5.75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5.75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5.75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5.75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5.75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5.75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5.75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5.75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5.75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5.75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5.75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5.75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5.75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5.75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5.75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5.75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5.75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5.75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5.75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5.75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5.75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5.75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5.75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5.75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5.75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5.75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5.75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5.75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5.75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5.75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5.75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5.75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5.75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5.75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5.75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5.75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5.75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5.75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5.75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5.75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5.75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5.75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5.75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5.75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5.75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5.75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5.75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5.75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5.75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5.75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5.75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5.75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5.75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5.75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5.75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5.75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5.75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5.75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5.75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5.75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5.75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5.75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5.75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5.75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5.75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5.75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5.75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5.75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5.75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5.75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5.75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5.75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5.75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5.75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5.75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5.75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5.75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5.75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5.75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5.75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5.75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5.75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5.75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5.75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5.75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5.75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5.75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5.75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5.75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5.75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5.75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5.75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5.75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5.75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5.75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5.75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5.75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5.75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5.75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5.75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5.75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5.75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5.75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5.75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5.75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5.75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5.75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5.75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5.75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5.75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5.75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5.75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5.75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5.75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5.75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5.75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5.75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5.75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5.75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5.75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5.75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5.75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5.75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5.75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5.75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5.75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5.75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5.75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5.75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5.75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5.75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5.75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5.75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5.75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5.75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5.75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5.75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5.75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5.75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5.75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5.75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5.75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5.75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5.75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5.75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5.75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5.75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5.75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5.75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5.75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5.75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5.75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5.75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5.75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5.75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5.75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5.75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5.75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5.75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5.75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5.75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5.75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5.75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5.75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5.75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5.75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5.75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5.75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5.75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5.75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5.75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5.75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5.75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5.75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5.75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5.75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5.75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5.75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5.75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5.75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5.75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5.75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5.75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5.75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5.75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5.75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5.75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5.75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5.75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5.75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5.75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5.75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5.75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5.75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5.75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5.75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5.75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5.75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5.75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5.75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5.75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5.75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5.75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5.75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5.75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5.75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5.75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5.75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5.75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5.75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5.75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5.75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5.75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5.75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5.75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5.75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5.75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5.75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5.75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5.75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5.75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5.75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5.75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5.75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5.75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5.75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5.75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5.75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5.75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5.75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5.75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5.75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5.75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5.75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5.75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5.75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5.75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5.75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5.75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5.75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5.75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5.75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5.75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5.75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5.75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5.75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5.75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5.75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5.75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5.75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5.75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5.75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5.75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5.75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5.75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5.75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5.75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5.75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5.75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5.75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5.75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5.75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5.75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5.75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5.75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5.75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5.75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5.75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5.75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5.75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5.75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5.75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5.75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5.75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5.75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5.75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5.75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5.75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5.75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5.75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5.75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5.75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5.75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5.75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5.75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5.75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5.75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5.75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5.75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5.75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5.75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5.75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5.75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5.75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5.75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5.75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5.75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5.75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5.75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5.75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5.75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5.75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5.75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5.75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5.75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5.75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5.75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5.75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5.75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5.75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5.75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5.75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5.75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5.75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5.75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5.75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5.75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5.75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5.75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5.75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5.75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5.75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5.75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5.75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5.75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5.75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5.75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5.75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5.75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5.75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5.75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5.75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5.75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5.75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5.75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5.75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5.75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5.75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5.75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5.75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5.75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5.75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5.75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5.75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5.75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5.75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5.75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5.75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5.75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5.75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5.75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5.75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5.75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5.75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5.75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5.75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5.75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5.75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5.75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5.75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5.75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5.75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5.75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5.75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5.75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5.75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5.75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5.75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5.75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5.75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5.75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5.75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5.75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5.75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5.75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5.75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5.75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5.75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5.75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5.75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5.75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5.75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5.75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5.75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5.75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5.75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5.75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5.75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5.75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5.75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5.75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5.75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5.75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5.75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5.75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5.75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5.75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5.75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5.75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5.75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5.75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5.75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5.75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5.75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5.75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5.75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5.75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5.75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5.75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5.75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5.75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5.75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5.75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5.75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5.75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5.75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5.75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5.75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5.75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5.75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5.75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5.75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5.75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5.75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5.75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5.75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5.75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5.75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5.75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5.75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5.75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5.75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5.75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5.75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5.75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5.75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5.75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5.75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5.75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5.75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5.75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5.75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5.75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5.75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5.75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5.75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5.75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5.75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5.75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5.75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5.75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5.75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5.75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5.75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5.75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5.75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5.75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5.75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5.75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5.75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5.75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5.75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5.75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5.75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5.75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5.75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5.75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5.75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5.75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5.75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5.75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5.75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5.75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5.75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5.75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5.75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5.75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5.75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5.75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5.75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5.75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5.75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5.75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5.75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5.75" customHeight="1">
      <c r="A1000" s="7"/>
      <c r="B1000" s="7"/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mergeCells count="79">
    <mergeCell ref="A37:A48"/>
    <mergeCell ref="A50:A51"/>
    <mergeCell ref="A53:A57"/>
    <mergeCell ref="A59:A61"/>
    <mergeCell ref="A63:A67"/>
    <mergeCell ref="A69:A81"/>
    <mergeCell ref="A83:A87"/>
    <mergeCell ref="A62:B62"/>
    <mergeCell ref="A68:B68"/>
    <mergeCell ref="A82:B82"/>
    <mergeCell ref="A88:B88"/>
    <mergeCell ref="A89:D89"/>
    <mergeCell ref="A10:A16"/>
    <mergeCell ref="A18:A20"/>
    <mergeCell ref="A22:A27"/>
    <mergeCell ref="A28:B28"/>
    <mergeCell ref="A29:A35"/>
    <mergeCell ref="A36:B36"/>
    <mergeCell ref="A49:B49"/>
    <mergeCell ref="E50:E51"/>
    <mergeCell ref="F50:F51"/>
    <mergeCell ref="G50:G51"/>
    <mergeCell ref="H50:H51"/>
    <mergeCell ref="F53:F57"/>
    <mergeCell ref="G53:G57"/>
    <mergeCell ref="H53:H57"/>
    <mergeCell ref="E53:E57"/>
    <mergeCell ref="E59:E61"/>
    <mergeCell ref="F59:F61"/>
    <mergeCell ref="G59:G61"/>
    <mergeCell ref="H59:H61"/>
    <mergeCell ref="E63:E67"/>
    <mergeCell ref="F63:F67"/>
    <mergeCell ref="H83:H87"/>
    <mergeCell ref="B90:H90"/>
    <mergeCell ref="B91:H91"/>
    <mergeCell ref="B92:H92"/>
    <mergeCell ref="E69:E81"/>
    <mergeCell ref="F69:F81"/>
    <mergeCell ref="G69:G81"/>
    <mergeCell ref="H69:H81"/>
    <mergeCell ref="E83:E87"/>
    <mergeCell ref="F83:F87"/>
    <mergeCell ref="G83:G87"/>
    <mergeCell ref="B1:E3"/>
    <mergeCell ref="F1:G3"/>
    <mergeCell ref="H1:H3"/>
    <mergeCell ref="B4:H4"/>
    <mergeCell ref="B5:H5"/>
    <mergeCell ref="B6:H6"/>
    <mergeCell ref="B7:H7"/>
    <mergeCell ref="C9:D9"/>
    <mergeCell ref="A1:A3"/>
    <mergeCell ref="A9:B9"/>
    <mergeCell ref="E10:E16"/>
    <mergeCell ref="F10:F16"/>
    <mergeCell ref="G10:G16"/>
    <mergeCell ref="H10:H16"/>
    <mergeCell ref="A17:B17"/>
    <mergeCell ref="E18:E20"/>
    <mergeCell ref="F18:F20"/>
    <mergeCell ref="G18:G20"/>
    <mergeCell ref="H18:H20"/>
    <mergeCell ref="F22:F27"/>
    <mergeCell ref="G22:G27"/>
    <mergeCell ref="H22:H27"/>
    <mergeCell ref="G37:G48"/>
    <mergeCell ref="H37:H48"/>
    <mergeCell ref="E22:E27"/>
    <mergeCell ref="E29:E35"/>
    <mergeCell ref="F29:F35"/>
    <mergeCell ref="G29:G35"/>
    <mergeCell ref="H29:H35"/>
    <mergeCell ref="E37:E48"/>
    <mergeCell ref="F37:F48"/>
    <mergeCell ref="A52:B52"/>
    <mergeCell ref="A58:B58"/>
    <mergeCell ref="G63:G67"/>
    <mergeCell ref="H63:H67"/>
  </mergeCells>
  <conditionalFormatting sqref="H17 H21 H28 H36 H49 H52 H58 H62 H68 H82 H88:H89">
    <cfRule type="cellIs" dxfId="0" priority="1" stopIfTrue="1" operator="greaterThanOrEqual">
      <formula>0.9</formula>
    </cfRule>
  </conditionalFormatting>
  <conditionalFormatting sqref="H17 H21 H28 H36 H49 H52 H58 H62 H68 H82 H88:H89">
    <cfRule type="cellIs" dxfId="1" priority="2" stopIfTrue="1" operator="between">
      <formula>0.81</formula>
      <formula>0.89</formula>
    </cfRule>
  </conditionalFormatting>
  <conditionalFormatting sqref="H17 H21 H28 H36 H49 H52 H58 H62 H68 H82 H88:H89">
    <cfRule type="cellIs" dxfId="2" priority="3" stopIfTrue="1" operator="lessThanOrEqual">
      <formula>0.8</formula>
    </cfRule>
  </conditionalFormatting>
  <dataValidations>
    <dataValidation type="list" allowBlank="1" showErrorMessage="1" sqref="C10:C16 C18:C20 C22:C27 C29:C35 C37:C48 C50:C51 C53:C57 C59:C61 C63:C67 C69:C81 C83:C87">
      <formula1>$I$10:$I$12</formula1>
    </dataValidation>
  </dataValidations>
  <printOptions/>
  <pageMargins bottom="0.75" footer="0.0" header="0.0" left="0.7" right="0.7" top="0.75"/>
  <pageSetup scale="52" orientation="portrait"/>
  <drawing r:id="rId1"/>
  <legacyDrawing r:id="rId2"/>
  <oleObjects>
    <oleObject progId="PBrush" shapeId="1025" r:id="rId3"/>
  </oleObjec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6" width="15.71"/>
    <col customWidth="1" min="7" max="26" width="10.71"/>
  </cols>
  <sheetData>
    <row r="1">
      <c r="A1" s="113" t="s">
        <v>2</v>
      </c>
      <c r="B1" s="113" t="s">
        <v>111</v>
      </c>
      <c r="C1" s="113" t="s">
        <v>112</v>
      </c>
      <c r="D1" s="114" t="s">
        <v>113</v>
      </c>
      <c r="E1" s="114" t="s">
        <v>114</v>
      </c>
    </row>
    <row r="2">
      <c r="C2" s="115">
        <v>100.0</v>
      </c>
      <c r="D2" s="115">
        <v>100.0</v>
      </c>
      <c r="E2" s="116">
        <v>1.0</v>
      </c>
    </row>
    <row r="3">
      <c r="E3" s="116"/>
    </row>
    <row r="4">
      <c r="E4" s="116"/>
    </row>
    <row r="5">
      <c r="E5" s="116"/>
    </row>
    <row r="6">
      <c r="E6" s="116"/>
    </row>
    <row r="7">
      <c r="E7" s="116"/>
    </row>
    <row r="8">
      <c r="E8" s="116"/>
    </row>
    <row r="9">
      <c r="E9" s="116"/>
    </row>
    <row r="10">
      <c r="E10" s="116"/>
    </row>
    <row r="11">
      <c r="E11" s="116"/>
    </row>
    <row r="12">
      <c r="E12" s="116"/>
    </row>
    <row r="13">
      <c r="E13" s="116"/>
    </row>
    <row r="14">
      <c r="E14" s="116"/>
    </row>
    <row r="15">
      <c r="E15" s="116"/>
    </row>
    <row r="16">
      <c r="E16" s="116"/>
    </row>
    <row r="17">
      <c r="E17" s="116"/>
    </row>
    <row r="18">
      <c r="E18" s="116"/>
    </row>
    <row r="19">
      <c r="E19" s="116"/>
    </row>
    <row r="20">
      <c r="E20" s="116"/>
    </row>
    <row r="21" ht="15.75" customHeight="1">
      <c r="E21" s="116"/>
    </row>
    <row r="22" ht="15.75" customHeight="1">
      <c r="E22" s="116"/>
    </row>
    <row r="23" ht="15.75" customHeight="1">
      <c r="E23" s="116"/>
    </row>
    <row r="24" ht="15.75" customHeight="1">
      <c r="E24" s="116"/>
    </row>
    <row r="25" ht="15.75" customHeight="1">
      <c r="E25" s="116"/>
    </row>
    <row r="26" ht="15.75" customHeight="1">
      <c r="E26" s="116"/>
    </row>
    <row r="27" ht="15.75" customHeight="1">
      <c r="E27" s="116"/>
    </row>
    <row r="28" ht="15.75" customHeight="1">
      <c r="E28" s="116"/>
    </row>
    <row r="29" ht="15.75" customHeight="1">
      <c r="E29" s="116"/>
    </row>
    <row r="30" ht="15.75" customHeight="1">
      <c r="E30" s="116"/>
    </row>
    <row r="31" ht="15.75" customHeight="1">
      <c r="E31" s="116"/>
    </row>
    <row r="32" ht="15.75" customHeight="1">
      <c r="E32" s="116"/>
    </row>
    <row r="33" ht="15.75" customHeight="1">
      <c r="E33" s="116"/>
    </row>
    <row r="34" ht="15.75" customHeight="1">
      <c r="E34" s="116"/>
    </row>
    <row r="35" ht="15.75" customHeight="1">
      <c r="E35" s="116"/>
    </row>
    <row r="36" ht="15.75" customHeight="1">
      <c r="E36" s="116"/>
    </row>
    <row r="37" ht="15.75" customHeight="1">
      <c r="E37" s="116"/>
    </row>
    <row r="38" ht="15.75" customHeight="1">
      <c r="E38" s="116"/>
    </row>
    <row r="39" ht="15.75" customHeight="1">
      <c r="E39" s="116"/>
    </row>
    <row r="40" ht="15.75" customHeight="1">
      <c r="E40" s="116"/>
    </row>
    <row r="41" ht="15.75" customHeight="1">
      <c r="E41" s="116"/>
    </row>
    <row r="42" ht="15.75" customHeight="1">
      <c r="E42" s="116"/>
    </row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2019-02-04T22:48:03Z</dcterms:created>
  <dc:creator>ROSEMBERG ALVAREZ</dc:creator>
</cp:coreProperties>
</file>